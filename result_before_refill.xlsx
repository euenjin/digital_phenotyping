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5fdef2f000760fb/바탕 화면/digital_phenotyping/"/>
    </mc:Choice>
  </mc:AlternateContent>
  <xr:revisionPtr revIDLastSave="0" documentId="8_{8BCA9A49-F720-4E65-939C-B38F91045F4F}" xr6:coauthVersionLast="47" xr6:coauthVersionMax="47" xr10:uidLastSave="{00000000-0000-0000-0000-000000000000}"/>
  <bookViews>
    <workbookView xWindow="-120" yWindow="-16320" windowWidth="29040" windowHeight="15720" firstSheet="10" activeTab="15" xr2:uid="{00000000-000D-0000-FFFF-FFFF00000000}"/>
  </bookViews>
  <sheets>
    <sheet name="연구대상자" sheetId="36" r:id="rId1"/>
    <sheet name="기준" sheetId="39" r:id="rId2"/>
    <sheet name="metformin" sheetId="1" r:id="rId3"/>
    <sheet name="T1" sheetId="13" state="hidden" r:id="rId4"/>
    <sheet name="T1-1" sheetId="50" r:id="rId5"/>
    <sheet name="T1-2" sheetId="24" r:id="rId6"/>
    <sheet name="T2-1" sheetId="46" r:id="rId7"/>
    <sheet name="T2-2" sheetId="40" r:id="rId8"/>
    <sheet name="T3-1" sheetId="51" r:id="rId9"/>
    <sheet name="T3-2" sheetId="34" r:id="rId10"/>
    <sheet name="T4-a" sheetId="47" r:id="rId11"/>
    <sheet name="T4-b" sheetId="49" r:id="rId12"/>
    <sheet name="Fig3" sheetId="37" r:id="rId13"/>
    <sheet name="T4_cox_cancer" sheetId="19" r:id="rId14"/>
    <sheet name="T4_detail" sheetId="35" r:id="rId15"/>
    <sheet name="T5_cox_ death" sheetId="42" r:id="rId16"/>
    <sheet name="T5_detail" sheetId="43" r:id="rId17"/>
    <sheet name="Fig3_met_model_detail" sheetId="4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36" l="1"/>
  <c r="F11" i="36"/>
  <c r="F12" i="36"/>
  <c r="F13" i="36"/>
  <c r="F14" i="36"/>
  <c r="F15" i="36"/>
  <c r="F10" i="36"/>
  <c r="C16" i="36"/>
  <c r="D12" i="36"/>
  <c r="D13" i="36" s="1"/>
  <c r="D14" i="36" s="1"/>
  <c r="D15" i="36" s="1"/>
  <c r="D11" i="36"/>
  <c r="D10" i="36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" i="34"/>
  <c r="H3" i="51"/>
  <c r="H4" i="51"/>
  <c r="H5" i="51"/>
  <c r="H6" i="51"/>
  <c r="H7" i="51"/>
  <c r="H8" i="51"/>
  <c r="H9" i="51"/>
  <c r="H10" i="51"/>
  <c r="H11" i="51"/>
  <c r="H12" i="51"/>
  <c r="H13" i="51"/>
  <c r="H14" i="51"/>
  <c r="H15" i="51"/>
  <c r="H16" i="51"/>
  <c r="H17" i="51"/>
  <c r="H18" i="51"/>
  <c r="H19" i="51"/>
  <c r="H20" i="51"/>
  <c r="H21" i="51"/>
  <c r="H2" i="51"/>
  <c r="O87" i="50"/>
  <c r="N87" i="50"/>
  <c r="M87" i="50"/>
  <c r="H87" i="50"/>
  <c r="P87" i="50" s="1"/>
  <c r="O86" i="50"/>
  <c r="N86" i="50"/>
  <c r="M86" i="50"/>
  <c r="H86" i="50"/>
  <c r="O85" i="50"/>
  <c r="N85" i="50"/>
  <c r="M85" i="50"/>
  <c r="H85" i="50"/>
  <c r="P85" i="50" s="1"/>
  <c r="O84" i="50"/>
  <c r="N84" i="50"/>
  <c r="M84" i="50"/>
  <c r="H84" i="50"/>
  <c r="P84" i="50" s="1"/>
  <c r="O83" i="50"/>
  <c r="N83" i="50"/>
  <c r="M83" i="50"/>
  <c r="H83" i="50"/>
  <c r="P83" i="50" s="1"/>
  <c r="O82" i="50"/>
  <c r="N82" i="50"/>
  <c r="M82" i="50"/>
  <c r="H82" i="50"/>
  <c r="P82" i="50" s="1"/>
  <c r="P81" i="50"/>
  <c r="O81" i="50"/>
  <c r="N81" i="50"/>
  <c r="M81" i="50"/>
  <c r="H81" i="50"/>
  <c r="O80" i="50"/>
  <c r="N80" i="50"/>
  <c r="M80" i="50"/>
  <c r="H80" i="50"/>
  <c r="P80" i="50" s="1"/>
  <c r="P79" i="50"/>
  <c r="O79" i="50"/>
  <c r="N79" i="50"/>
  <c r="M79" i="50"/>
  <c r="H79" i="50"/>
  <c r="O78" i="50"/>
  <c r="N78" i="50"/>
  <c r="M78" i="50"/>
  <c r="H78" i="50"/>
  <c r="P78" i="50" s="1"/>
  <c r="O77" i="50"/>
  <c r="G34" i="50" s="1"/>
  <c r="N77" i="50"/>
  <c r="F34" i="50" s="1"/>
  <c r="M77" i="50"/>
  <c r="E34" i="50" s="1"/>
  <c r="H77" i="50"/>
  <c r="P77" i="50" s="1"/>
  <c r="O76" i="50"/>
  <c r="G33" i="50" s="1"/>
  <c r="N76" i="50"/>
  <c r="F33" i="50" s="1"/>
  <c r="M76" i="50"/>
  <c r="E32" i="50" s="1"/>
  <c r="H76" i="50"/>
  <c r="O74" i="50"/>
  <c r="G30" i="50" s="1"/>
  <c r="N74" i="50"/>
  <c r="F30" i="50" s="1"/>
  <c r="M74" i="50"/>
  <c r="H74" i="50"/>
  <c r="P74" i="50" s="1"/>
  <c r="H30" i="50" s="1"/>
  <c r="O73" i="50"/>
  <c r="G29" i="50" s="1"/>
  <c r="N73" i="50"/>
  <c r="F29" i="50" s="1"/>
  <c r="M73" i="50"/>
  <c r="E29" i="50" s="1"/>
  <c r="H73" i="50"/>
  <c r="P73" i="50" s="1"/>
  <c r="H29" i="50" s="1"/>
  <c r="O72" i="50"/>
  <c r="G28" i="50" s="1"/>
  <c r="N72" i="50"/>
  <c r="F28" i="50" s="1"/>
  <c r="M72" i="50"/>
  <c r="E28" i="50" s="1"/>
  <c r="H72" i="50"/>
  <c r="P72" i="50" s="1"/>
  <c r="H28" i="50" s="1"/>
  <c r="O71" i="50"/>
  <c r="G27" i="50" s="1"/>
  <c r="N71" i="50"/>
  <c r="F27" i="50" s="1"/>
  <c r="M71" i="50"/>
  <c r="E27" i="50" s="1"/>
  <c r="H71" i="50"/>
  <c r="P71" i="50" s="1"/>
  <c r="H27" i="50" s="1"/>
  <c r="O70" i="50"/>
  <c r="G26" i="50" s="1"/>
  <c r="N70" i="50"/>
  <c r="M70" i="50"/>
  <c r="E26" i="50" s="1"/>
  <c r="H70" i="50"/>
  <c r="P70" i="50" s="1"/>
  <c r="O69" i="50"/>
  <c r="N69" i="50"/>
  <c r="F25" i="50" s="1"/>
  <c r="M69" i="50"/>
  <c r="E25" i="50" s="1"/>
  <c r="H69" i="50"/>
  <c r="O68" i="50"/>
  <c r="N68" i="50"/>
  <c r="M68" i="50"/>
  <c r="H68" i="50"/>
  <c r="P68" i="50" s="1"/>
  <c r="H24" i="50" s="1"/>
  <c r="O67" i="50"/>
  <c r="N67" i="50"/>
  <c r="M67" i="50"/>
  <c r="H67" i="50"/>
  <c r="P67" i="50" s="1"/>
  <c r="O66" i="50"/>
  <c r="G22" i="50" s="1"/>
  <c r="N66" i="50"/>
  <c r="F22" i="50" s="1"/>
  <c r="M66" i="50"/>
  <c r="E22" i="50" s="1"/>
  <c r="H66" i="50"/>
  <c r="O65" i="50"/>
  <c r="G21" i="50" s="1"/>
  <c r="N65" i="50"/>
  <c r="F21" i="50" s="1"/>
  <c r="M65" i="50"/>
  <c r="E21" i="50" s="1"/>
  <c r="H65" i="50"/>
  <c r="P65" i="50" s="1"/>
  <c r="H21" i="50" s="1"/>
  <c r="O64" i="50"/>
  <c r="G20" i="50" s="1"/>
  <c r="N64" i="50"/>
  <c r="F20" i="50" s="1"/>
  <c r="M64" i="50"/>
  <c r="E20" i="50" s="1"/>
  <c r="H64" i="50"/>
  <c r="P64" i="50" s="1"/>
  <c r="H20" i="50" s="1"/>
  <c r="O63" i="50"/>
  <c r="G19" i="50" s="1"/>
  <c r="N63" i="50"/>
  <c r="F19" i="50" s="1"/>
  <c r="M63" i="50"/>
  <c r="E19" i="50" s="1"/>
  <c r="H63" i="50"/>
  <c r="P63" i="50" s="1"/>
  <c r="H19" i="50" s="1"/>
  <c r="O61" i="50"/>
  <c r="G17" i="50" s="1"/>
  <c r="N61" i="50"/>
  <c r="M61" i="50"/>
  <c r="H61" i="50"/>
  <c r="P61" i="50" s="1"/>
  <c r="O60" i="50"/>
  <c r="G16" i="50" s="1"/>
  <c r="N60" i="50"/>
  <c r="M60" i="50"/>
  <c r="E16" i="50" s="1"/>
  <c r="H60" i="50"/>
  <c r="P60" i="50" s="1"/>
  <c r="O59" i="50"/>
  <c r="N59" i="50"/>
  <c r="F15" i="50" s="1"/>
  <c r="M59" i="50"/>
  <c r="E15" i="50" s="1"/>
  <c r="H59" i="50"/>
  <c r="O58" i="50"/>
  <c r="N58" i="50"/>
  <c r="M58" i="50"/>
  <c r="H58" i="50"/>
  <c r="O57" i="50"/>
  <c r="N57" i="50"/>
  <c r="M57" i="50"/>
  <c r="H57" i="50"/>
  <c r="O56" i="50"/>
  <c r="N56" i="50"/>
  <c r="M56" i="50"/>
  <c r="H56" i="50"/>
  <c r="O55" i="50"/>
  <c r="N55" i="50"/>
  <c r="M55" i="50"/>
  <c r="H55" i="50"/>
  <c r="O54" i="50"/>
  <c r="G13" i="50" s="1"/>
  <c r="N54" i="50"/>
  <c r="F13" i="50" s="1"/>
  <c r="M54" i="50"/>
  <c r="E13" i="50" s="1"/>
  <c r="H54" i="50"/>
  <c r="P54" i="50" s="1"/>
  <c r="H13" i="50" s="1"/>
  <c r="O53" i="50"/>
  <c r="N53" i="50"/>
  <c r="F12" i="50" s="1"/>
  <c r="M53" i="50"/>
  <c r="E12" i="50" s="1"/>
  <c r="H53" i="50"/>
  <c r="P53" i="50" s="1"/>
  <c r="H12" i="50" s="1"/>
  <c r="O52" i="50"/>
  <c r="G11" i="50" s="1"/>
  <c r="N52" i="50"/>
  <c r="F11" i="50" s="1"/>
  <c r="M52" i="50"/>
  <c r="H52" i="50"/>
  <c r="P52" i="50" s="1"/>
  <c r="H11" i="50" s="1"/>
  <c r="O50" i="50"/>
  <c r="N50" i="50"/>
  <c r="M50" i="50"/>
  <c r="E9" i="50" s="1"/>
  <c r="H50" i="50"/>
  <c r="P50" i="50" s="1"/>
  <c r="H9" i="50" s="1"/>
  <c r="P49" i="50"/>
  <c r="O49" i="50"/>
  <c r="G8" i="50" s="1"/>
  <c r="N49" i="50"/>
  <c r="M49" i="50"/>
  <c r="E8" i="50" s="1"/>
  <c r="H49" i="50"/>
  <c r="O48" i="50"/>
  <c r="N48" i="50"/>
  <c r="M48" i="50"/>
  <c r="H48" i="50"/>
  <c r="P48" i="50" s="1"/>
  <c r="H7" i="50" s="1"/>
  <c r="O47" i="50"/>
  <c r="G6" i="50" s="1"/>
  <c r="N47" i="50"/>
  <c r="M47" i="50"/>
  <c r="E6" i="50" s="1"/>
  <c r="H47" i="50"/>
  <c r="P47" i="50" s="1"/>
  <c r="H6" i="50" s="1"/>
  <c r="P36" i="50"/>
  <c r="O36" i="50"/>
  <c r="N36" i="50"/>
  <c r="J36" i="50"/>
  <c r="K34" i="50" s="1"/>
  <c r="L35" i="50"/>
  <c r="G35" i="50"/>
  <c r="F35" i="50"/>
  <c r="E35" i="50"/>
  <c r="E30" i="50"/>
  <c r="F26" i="50"/>
  <c r="G25" i="50"/>
  <c r="G24" i="50"/>
  <c r="F24" i="50"/>
  <c r="E24" i="50"/>
  <c r="G23" i="50"/>
  <c r="F23" i="50"/>
  <c r="E23" i="50"/>
  <c r="F17" i="50"/>
  <c r="E17" i="50"/>
  <c r="F16" i="50"/>
  <c r="G15" i="50"/>
  <c r="G14" i="50"/>
  <c r="F14" i="50"/>
  <c r="E14" i="50"/>
  <c r="G12" i="50"/>
  <c r="E11" i="50"/>
  <c r="I9" i="50"/>
  <c r="K9" i="50" s="1"/>
  <c r="G9" i="50"/>
  <c r="F9" i="50"/>
  <c r="I8" i="50"/>
  <c r="K8" i="50" s="1"/>
  <c r="F8" i="50"/>
  <c r="G7" i="50"/>
  <c r="F7" i="50"/>
  <c r="E7" i="50"/>
  <c r="F6" i="50"/>
  <c r="H8" i="50" l="1"/>
  <c r="P69" i="50"/>
  <c r="H25" i="50" s="1"/>
  <c r="P76" i="50"/>
  <c r="H33" i="50" s="1"/>
  <c r="K33" i="50"/>
  <c r="G32" i="50"/>
  <c r="K35" i="50"/>
  <c r="M35" i="50" s="1"/>
  <c r="H17" i="50"/>
  <c r="H16" i="50"/>
  <c r="P56" i="50"/>
  <c r="H26" i="50"/>
  <c r="E33" i="50"/>
  <c r="Q36" i="50"/>
  <c r="O37" i="50" s="1"/>
  <c r="H35" i="50"/>
  <c r="P57" i="50"/>
  <c r="P59" i="50"/>
  <c r="H15" i="50" s="1"/>
  <c r="H23" i="50"/>
  <c r="F32" i="50"/>
  <c r="P66" i="50"/>
  <c r="H22" i="50" s="1"/>
  <c r="P58" i="50"/>
  <c r="P55" i="50"/>
  <c r="H14" i="50" s="1"/>
  <c r="P86" i="50"/>
  <c r="H34" i="50"/>
  <c r="H28" i="37"/>
  <c r="H27" i="37"/>
  <c r="F28" i="37"/>
  <c r="F27" i="37"/>
  <c r="D28" i="37"/>
  <c r="D27" i="37"/>
  <c r="N20" i="45"/>
  <c r="N19" i="45"/>
  <c r="N18" i="45"/>
  <c r="N17" i="45"/>
  <c r="N16" i="45"/>
  <c r="N15" i="45"/>
  <c r="N14" i="45"/>
  <c r="N13" i="45"/>
  <c r="N12" i="45"/>
  <c r="N11" i="45"/>
  <c r="N10" i="45"/>
  <c r="N7" i="45"/>
  <c r="N6" i="45"/>
  <c r="N5" i="45"/>
  <c r="N4" i="45"/>
  <c r="I20" i="45"/>
  <c r="I19" i="45"/>
  <c r="I18" i="45"/>
  <c r="I17" i="45"/>
  <c r="I16" i="45"/>
  <c r="I15" i="45"/>
  <c r="I14" i="45"/>
  <c r="I13" i="45"/>
  <c r="I12" i="45"/>
  <c r="I11" i="45"/>
  <c r="I10" i="45"/>
  <c r="I7" i="45"/>
  <c r="I6" i="45"/>
  <c r="I5" i="45"/>
  <c r="I4" i="45"/>
  <c r="D20" i="45"/>
  <c r="D19" i="45"/>
  <c r="D18" i="45"/>
  <c r="D17" i="45"/>
  <c r="D16" i="45"/>
  <c r="D15" i="45"/>
  <c r="D14" i="45"/>
  <c r="D13" i="45"/>
  <c r="D12" i="45"/>
  <c r="D11" i="45"/>
  <c r="D10" i="45"/>
  <c r="D7" i="45"/>
  <c r="D6" i="45"/>
  <c r="D5" i="45"/>
  <c r="D4" i="45"/>
  <c r="H10" i="40"/>
  <c r="H9" i="40"/>
  <c r="H8" i="40"/>
  <c r="H5" i="40"/>
  <c r="H6" i="40"/>
  <c r="H4" i="40"/>
  <c r="E5" i="40"/>
  <c r="E6" i="40"/>
  <c r="E4" i="40"/>
  <c r="K36" i="50" l="1"/>
  <c r="H32" i="50"/>
  <c r="P37" i="50"/>
  <c r="N37" i="50"/>
  <c r="E32" i="43" l="1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0" i="43"/>
  <c r="E9" i="43"/>
  <c r="E8" i="43"/>
  <c r="E7" i="43"/>
  <c r="E6" i="43"/>
  <c r="E5" i="43"/>
  <c r="E4" i="43"/>
  <c r="E24" i="42"/>
  <c r="E23" i="42"/>
  <c r="E22" i="42"/>
  <c r="E20" i="42"/>
  <c r="E19" i="42"/>
  <c r="E18" i="42"/>
  <c r="E16" i="42"/>
  <c r="E15" i="42"/>
  <c r="E14" i="42"/>
  <c r="E12" i="42"/>
  <c r="E11" i="42"/>
  <c r="E10" i="42"/>
  <c r="E8" i="42"/>
  <c r="E7" i="42"/>
  <c r="E6" i="42"/>
  <c r="E27" i="1" l="1"/>
  <c r="I9" i="24"/>
  <c r="K9" i="24" s="1"/>
  <c r="I8" i="24"/>
  <c r="K8" i="24" s="1"/>
  <c r="E15" i="35" l="1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13" i="35"/>
  <c r="E14" i="35"/>
  <c r="E10" i="35"/>
  <c r="E9" i="35"/>
  <c r="E8" i="35"/>
  <c r="E7" i="35"/>
  <c r="E5" i="35"/>
  <c r="E6" i="35"/>
  <c r="E4" i="35"/>
  <c r="E24" i="19"/>
  <c r="E23" i="19"/>
  <c r="E22" i="19"/>
  <c r="E20" i="19"/>
  <c r="E19" i="19"/>
  <c r="E18" i="19"/>
  <c r="E16" i="19"/>
  <c r="E15" i="19"/>
  <c r="E14" i="19"/>
  <c r="H71" i="24" l="1"/>
  <c r="H70" i="24"/>
  <c r="H69" i="24"/>
  <c r="H68" i="24"/>
  <c r="N67" i="24" l="1"/>
  <c r="F14" i="24" s="1"/>
  <c r="O67" i="24"/>
  <c r="G14" i="24" s="1"/>
  <c r="N68" i="24"/>
  <c r="O68" i="24"/>
  <c r="N69" i="24"/>
  <c r="O69" i="24"/>
  <c r="N70" i="24"/>
  <c r="F17" i="24" s="1"/>
  <c r="O70" i="24"/>
  <c r="G17" i="24" s="1"/>
  <c r="N71" i="24"/>
  <c r="F18" i="24" s="1"/>
  <c r="O71" i="24"/>
  <c r="G18" i="24" s="1"/>
  <c r="M68" i="24"/>
  <c r="E15" i="24" s="1"/>
  <c r="M69" i="24"/>
  <c r="E16" i="24" s="1"/>
  <c r="M70" i="24"/>
  <c r="E17" i="24" s="1"/>
  <c r="M71" i="24"/>
  <c r="E18" i="24" s="1"/>
  <c r="F15" i="24"/>
  <c r="G15" i="24"/>
  <c r="F16" i="24"/>
  <c r="G16" i="24"/>
  <c r="O99" i="24"/>
  <c r="G47" i="24" s="1"/>
  <c r="N99" i="24"/>
  <c r="F47" i="24" s="1"/>
  <c r="M99" i="24"/>
  <c r="E47" i="24" s="1"/>
  <c r="H99" i="24"/>
  <c r="O98" i="24"/>
  <c r="G46" i="24" s="1"/>
  <c r="N98" i="24"/>
  <c r="F46" i="24" s="1"/>
  <c r="M98" i="24"/>
  <c r="E46" i="24" s="1"/>
  <c r="H98" i="24"/>
  <c r="O97" i="24"/>
  <c r="G45" i="24" s="1"/>
  <c r="N97" i="24"/>
  <c r="F45" i="24" s="1"/>
  <c r="M97" i="24"/>
  <c r="E45" i="24" s="1"/>
  <c r="H97" i="24"/>
  <c r="O96" i="24"/>
  <c r="G44" i="24" s="1"/>
  <c r="N96" i="24"/>
  <c r="F44" i="24" s="1"/>
  <c r="M96" i="24"/>
  <c r="E44" i="24" s="1"/>
  <c r="H96" i="24"/>
  <c r="O95" i="24"/>
  <c r="G43" i="24" s="1"/>
  <c r="N95" i="24"/>
  <c r="F43" i="24" s="1"/>
  <c r="M95" i="24"/>
  <c r="E43" i="24" s="1"/>
  <c r="H95" i="24"/>
  <c r="O94" i="24"/>
  <c r="G42" i="24" s="1"/>
  <c r="N94" i="24"/>
  <c r="F42" i="24" s="1"/>
  <c r="M94" i="24"/>
  <c r="E42" i="24" s="1"/>
  <c r="H94" i="24"/>
  <c r="O93" i="24"/>
  <c r="G41" i="24" s="1"/>
  <c r="N93" i="24"/>
  <c r="F41" i="24" s="1"/>
  <c r="M93" i="24"/>
  <c r="E41" i="24" s="1"/>
  <c r="H93" i="24"/>
  <c r="O92" i="24"/>
  <c r="G40" i="24" s="1"/>
  <c r="N92" i="24"/>
  <c r="F40" i="24" s="1"/>
  <c r="M92" i="24"/>
  <c r="E40" i="24" s="1"/>
  <c r="H92" i="24"/>
  <c r="O91" i="24"/>
  <c r="G39" i="24" s="1"/>
  <c r="N91" i="24"/>
  <c r="F39" i="24" s="1"/>
  <c r="M91" i="24"/>
  <c r="E39" i="24" s="1"/>
  <c r="H91" i="24"/>
  <c r="O90" i="24"/>
  <c r="G38" i="24" s="1"/>
  <c r="N90" i="24"/>
  <c r="F38" i="24" s="1"/>
  <c r="M90" i="24"/>
  <c r="E38" i="24" s="1"/>
  <c r="H90" i="24"/>
  <c r="O89" i="24"/>
  <c r="G37" i="24" s="1"/>
  <c r="N89" i="24"/>
  <c r="F37" i="24" s="1"/>
  <c r="M89" i="24"/>
  <c r="E37" i="24" s="1"/>
  <c r="H89" i="24"/>
  <c r="O88" i="24"/>
  <c r="G36" i="24" s="1"/>
  <c r="N88" i="24"/>
  <c r="M88" i="24"/>
  <c r="E35" i="24" s="1"/>
  <c r="H88" i="24"/>
  <c r="O86" i="24"/>
  <c r="N86" i="24"/>
  <c r="M86" i="24"/>
  <c r="E33" i="24" s="1"/>
  <c r="H86" i="24"/>
  <c r="P86" i="24" s="1"/>
  <c r="H33" i="24" s="1"/>
  <c r="O85" i="24"/>
  <c r="G32" i="24" s="1"/>
  <c r="N85" i="24"/>
  <c r="F32" i="24" s="1"/>
  <c r="M85" i="24"/>
  <c r="E32" i="24" s="1"/>
  <c r="H85" i="24"/>
  <c r="P85" i="24" s="1"/>
  <c r="H32" i="24" s="1"/>
  <c r="O84" i="24"/>
  <c r="G31" i="24" s="1"/>
  <c r="N84" i="24"/>
  <c r="F31" i="24" s="1"/>
  <c r="M84" i="24"/>
  <c r="H84" i="24"/>
  <c r="P84" i="24" s="1"/>
  <c r="H31" i="24" s="1"/>
  <c r="O83" i="24"/>
  <c r="G30" i="24" s="1"/>
  <c r="N83" i="24"/>
  <c r="M83" i="24"/>
  <c r="E30" i="24" s="1"/>
  <c r="H83" i="24"/>
  <c r="P83" i="24" s="1"/>
  <c r="H30" i="24" s="1"/>
  <c r="O82" i="24"/>
  <c r="G29" i="24" s="1"/>
  <c r="N82" i="24"/>
  <c r="F29" i="24" s="1"/>
  <c r="M82" i="24"/>
  <c r="E29" i="24" s="1"/>
  <c r="H82" i="24"/>
  <c r="P82" i="24" s="1"/>
  <c r="H29" i="24" s="1"/>
  <c r="O81" i="24"/>
  <c r="G28" i="24" s="1"/>
  <c r="N81" i="24"/>
  <c r="F28" i="24" s="1"/>
  <c r="M81" i="24"/>
  <c r="H81" i="24"/>
  <c r="P81" i="24" s="1"/>
  <c r="H28" i="24" s="1"/>
  <c r="O80" i="24"/>
  <c r="G27" i="24" s="1"/>
  <c r="N80" i="24"/>
  <c r="M80" i="24"/>
  <c r="E27" i="24" s="1"/>
  <c r="H80" i="24"/>
  <c r="P80" i="24" s="1"/>
  <c r="O79" i="24"/>
  <c r="G26" i="24" s="1"/>
  <c r="N79" i="24"/>
  <c r="F26" i="24" s="1"/>
  <c r="M79" i="24"/>
  <c r="E26" i="24" s="1"/>
  <c r="H79" i="24"/>
  <c r="O78" i="24"/>
  <c r="G25" i="24" s="1"/>
  <c r="N78" i="24"/>
  <c r="F25" i="24" s="1"/>
  <c r="M78" i="24"/>
  <c r="H78" i="24"/>
  <c r="O77" i="24"/>
  <c r="G24" i="24" s="1"/>
  <c r="N77" i="24"/>
  <c r="F24" i="24" s="1"/>
  <c r="M77" i="24"/>
  <c r="E24" i="24" s="1"/>
  <c r="H77" i="24"/>
  <c r="O76" i="24"/>
  <c r="G23" i="24" s="1"/>
  <c r="N76" i="24"/>
  <c r="F23" i="24" s="1"/>
  <c r="M76" i="24"/>
  <c r="E23" i="24" s="1"/>
  <c r="H76" i="24"/>
  <c r="P76" i="24" s="1"/>
  <c r="H23" i="24" s="1"/>
  <c r="O75" i="24"/>
  <c r="G22" i="24" s="1"/>
  <c r="N75" i="24"/>
  <c r="F22" i="24" s="1"/>
  <c r="M75" i="24"/>
  <c r="E22" i="24" s="1"/>
  <c r="H75" i="24"/>
  <c r="P75" i="24" s="1"/>
  <c r="H22" i="24" s="1"/>
  <c r="O73" i="24"/>
  <c r="G20" i="24" s="1"/>
  <c r="N73" i="24"/>
  <c r="M73" i="24"/>
  <c r="E20" i="24" s="1"/>
  <c r="H73" i="24"/>
  <c r="P73" i="24" s="1"/>
  <c r="H20" i="24" s="1"/>
  <c r="O72" i="24"/>
  <c r="G19" i="24" s="1"/>
  <c r="N72" i="24"/>
  <c r="F19" i="24" s="1"/>
  <c r="M72" i="24"/>
  <c r="E19" i="24" s="1"/>
  <c r="H72" i="24"/>
  <c r="P72" i="24" s="1"/>
  <c r="H19" i="24" s="1"/>
  <c r="M67" i="24"/>
  <c r="E14" i="24" s="1"/>
  <c r="H67" i="24"/>
  <c r="O66" i="24"/>
  <c r="N66" i="24"/>
  <c r="F13" i="24" s="1"/>
  <c r="M66" i="24"/>
  <c r="E13" i="24" s="1"/>
  <c r="H66" i="24"/>
  <c r="P66" i="24" s="1"/>
  <c r="H13" i="24" s="1"/>
  <c r="O65" i="24"/>
  <c r="G12" i="24" s="1"/>
  <c r="N65" i="24"/>
  <c r="F12" i="24" s="1"/>
  <c r="M65" i="24"/>
  <c r="E12" i="24" s="1"/>
  <c r="H65" i="24"/>
  <c r="P65" i="24" s="1"/>
  <c r="H12" i="24" s="1"/>
  <c r="O64" i="24"/>
  <c r="G11" i="24" s="1"/>
  <c r="N64" i="24"/>
  <c r="F11" i="24" s="1"/>
  <c r="M64" i="24"/>
  <c r="E11" i="24" s="1"/>
  <c r="H64" i="24"/>
  <c r="P64" i="24" s="1"/>
  <c r="H11" i="24" s="1"/>
  <c r="O62" i="24"/>
  <c r="G9" i="24" s="1"/>
  <c r="N62" i="24"/>
  <c r="F9" i="24" s="1"/>
  <c r="M62" i="24"/>
  <c r="E9" i="24" s="1"/>
  <c r="H62" i="24"/>
  <c r="P62" i="24" s="1"/>
  <c r="O61" i="24"/>
  <c r="G8" i="24" s="1"/>
  <c r="N61" i="24"/>
  <c r="F8" i="24" s="1"/>
  <c r="M61" i="24"/>
  <c r="E8" i="24" s="1"/>
  <c r="H61" i="24"/>
  <c r="P61" i="24" s="1"/>
  <c r="H8" i="24" s="1"/>
  <c r="O60" i="24"/>
  <c r="G7" i="24" s="1"/>
  <c r="N60" i="24"/>
  <c r="F7" i="24" s="1"/>
  <c r="M60" i="24"/>
  <c r="E7" i="24" s="1"/>
  <c r="H60" i="24"/>
  <c r="P60" i="24" s="1"/>
  <c r="H7" i="24" s="1"/>
  <c r="O59" i="24"/>
  <c r="G6" i="24" s="1"/>
  <c r="N59" i="24"/>
  <c r="F6" i="24" s="1"/>
  <c r="M59" i="24"/>
  <c r="E6" i="24" s="1"/>
  <c r="H59" i="24"/>
  <c r="P59" i="24" s="1"/>
  <c r="H6" i="24" s="1"/>
  <c r="P48" i="24"/>
  <c r="O48" i="24"/>
  <c r="N48" i="24"/>
  <c r="J48" i="24"/>
  <c r="K38" i="24" s="1"/>
  <c r="L38" i="24"/>
  <c r="G33" i="24"/>
  <c r="F33" i="24"/>
  <c r="E31" i="24"/>
  <c r="F30" i="24"/>
  <c r="E28" i="24"/>
  <c r="F27" i="24"/>
  <c r="E25" i="24"/>
  <c r="F20" i="24"/>
  <c r="G13" i="24"/>
  <c r="P88" i="24" l="1"/>
  <c r="H35" i="24" s="1"/>
  <c r="P91" i="24"/>
  <c r="H39" i="24" s="1"/>
  <c r="P94" i="24"/>
  <c r="H42" i="24" s="1"/>
  <c r="P97" i="24"/>
  <c r="H45" i="24"/>
  <c r="F35" i="24"/>
  <c r="F36" i="24"/>
  <c r="G35" i="24"/>
  <c r="P89" i="24"/>
  <c r="H37" i="24" s="1"/>
  <c r="P92" i="24"/>
  <c r="H40" i="24"/>
  <c r="P95" i="24"/>
  <c r="H43" i="24" s="1"/>
  <c r="P98" i="24"/>
  <c r="H46" i="24" s="1"/>
  <c r="E36" i="24"/>
  <c r="P90" i="24"/>
  <c r="H38" i="24" s="1"/>
  <c r="P93" i="24"/>
  <c r="H41" i="24"/>
  <c r="P96" i="24"/>
  <c r="H44" i="24" s="1"/>
  <c r="P99" i="24"/>
  <c r="H47" i="24" s="1"/>
  <c r="P67" i="24"/>
  <c r="P70" i="24"/>
  <c r="H17" i="24" s="1"/>
  <c r="H14" i="24"/>
  <c r="P69" i="24"/>
  <c r="H16" i="24" s="1"/>
  <c r="P68" i="24"/>
  <c r="H15" i="24" s="1"/>
  <c r="P71" i="24"/>
  <c r="H18" i="24" s="1"/>
  <c r="P79" i="24"/>
  <c r="H26" i="24" s="1"/>
  <c r="P78" i="24"/>
  <c r="H25" i="24" s="1"/>
  <c r="K36" i="24"/>
  <c r="K37" i="24"/>
  <c r="M38" i="24" s="1"/>
  <c r="P77" i="24"/>
  <c r="H24" i="24" s="1"/>
  <c r="H9" i="24"/>
  <c r="H27" i="24"/>
  <c r="H36" i="24" l="1"/>
  <c r="K48" i="24"/>
  <c r="D30" i="1"/>
  <c r="D31" i="1" s="1"/>
  <c r="Q48" i="24" l="1"/>
  <c r="O49" i="24" l="1"/>
  <c r="P49" i="24"/>
  <c r="N49" i="24"/>
  <c r="E48" i="1" l="1"/>
  <c r="D50" i="1"/>
  <c r="D49" i="1"/>
  <c r="E47" i="1"/>
  <c r="E49" i="1" s="1"/>
  <c r="E46" i="1"/>
  <c r="E28" i="1"/>
  <c r="E29" i="1"/>
  <c r="D11" i="1"/>
  <c r="E12" i="19"/>
  <c r="E11" i="19"/>
  <c r="E10" i="19"/>
  <c r="E8" i="19"/>
  <c r="E7" i="19"/>
  <c r="E6" i="19"/>
  <c r="G23" i="13"/>
  <c r="H23" i="13"/>
  <c r="N70" i="13"/>
  <c r="F22" i="13" s="1"/>
  <c r="O70" i="13"/>
  <c r="G22" i="13" s="1"/>
  <c r="N71" i="13"/>
  <c r="F23" i="13" s="1"/>
  <c r="O71" i="13"/>
  <c r="M71" i="13"/>
  <c r="E23" i="13" s="1"/>
  <c r="M70" i="13"/>
  <c r="E22" i="13" s="1"/>
  <c r="N68" i="13"/>
  <c r="F20" i="13" s="1"/>
  <c r="O68" i="13"/>
  <c r="G20" i="13" s="1"/>
  <c r="N69" i="13"/>
  <c r="F21" i="13" s="1"/>
  <c r="O69" i="13"/>
  <c r="G21" i="13" s="1"/>
  <c r="M69" i="13"/>
  <c r="E21" i="13" s="1"/>
  <c r="M68" i="13"/>
  <c r="E20" i="13" s="1"/>
  <c r="H71" i="13"/>
  <c r="P71" i="13" s="1"/>
  <c r="H70" i="13"/>
  <c r="P70" i="13" s="1"/>
  <c r="H69" i="13"/>
  <c r="P69" i="13" s="1"/>
  <c r="H68" i="13"/>
  <c r="P68" i="13" s="1"/>
  <c r="O89" i="13"/>
  <c r="G41" i="13" s="1"/>
  <c r="N89" i="13"/>
  <c r="F41" i="13" s="1"/>
  <c r="M89" i="13"/>
  <c r="E41" i="13" s="1"/>
  <c r="H89" i="13"/>
  <c r="P89" i="13" s="1"/>
  <c r="O88" i="13"/>
  <c r="G40" i="13" s="1"/>
  <c r="N88" i="13"/>
  <c r="F40" i="13" s="1"/>
  <c r="M88" i="13"/>
  <c r="E40" i="13" s="1"/>
  <c r="H88" i="13"/>
  <c r="P88" i="13" s="1"/>
  <c r="O87" i="13"/>
  <c r="G39" i="13" s="1"/>
  <c r="N87" i="13"/>
  <c r="F39" i="13" s="1"/>
  <c r="M87" i="13"/>
  <c r="E39" i="13" s="1"/>
  <c r="H87" i="13"/>
  <c r="O86" i="13"/>
  <c r="G38" i="13" s="1"/>
  <c r="N86" i="13"/>
  <c r="F38" i="13" s="1"/>
  <c r="M86" i="13"/>
  <c r="E38" i="13" s="1"/>
  <c r="H86" i="13"/>
  <c r="O85" i="13"/>
  <c r="G37" i="13" s="1"/>
  <c r="N85" i="13"/>
  <c r="F37" i="13" s="1"/>
  <c r="M85" i="13"/>
  <c r="E37" i="13" s="1"/>
  <c r="H85" i="13"/>
  <c r="P85" i="13" s="1"/>
  <c r="O84" i="13"/>
  <c r="G36" i="13" s="1"/>
  <c r="N84" i="13"/>
  <c r="F36" i="13" s="1"/>
  <c r="M84" i="13"/>
  <c r="E36" i="13" s="1"/>
  <c r="H84" i="13"/>
  <c r="O83" i="13"/>
  <c r="G35" i="13" s="1"/>
  <c r="N83" i="13"/>
  <c r="F35" i="13" s="1"/>
  <c r="M83" i="13"/>
  <c r="E35" i="13" s="1"/>
  <c r="H83" i="13"/>
  <c r="O82" i="13"/>
  <c r="G34" i="13" s="1"/>
  <c r="N82" i="13"/>
  <c r="F34" i="13" s="1"/>
  <c r="M82" i="13"/>
  <c r="E34" i="13" s="1"/>
  <c r="H82" i="13"/>
  <c r="O81" i="13"/>
  <c r="G33" i="13" s="1"/>
  <c r="N81" i="13"/>
  <c r="F33" i="13" s="1"/>
  <c r="M81" i="13"/>
  <c r="E33" i="13" s="1"/>
  <c r="H81" i="13"/>
  <c r="P81" i="13" s="1"/>
  <c r="H33" i="13" s="1"/>
  <c r="O79" i="13"/>
  <c r="G31" i="13" s="1"/>
  <c r="N79" i="13"/>
  <c r="F31" i="13" s="1"/>
  <c r="M79" i="13"/>
  <c r="E31" i="13" s="1"/>
  <c r="H79" i="13"/>
  <c r="O78" i="13"/>
  <c r="G30" i="13" s="1"/>
  <c r="N78" i="13"/>
  <c r="F30" i="13" s="1"/>
  <c r="M78" i="13"/>
  <c r="E30" i="13" s="1"/>
  <c r="H78" i="13"/>
  <c r="P78" i="13" s="1"/>
  <c r="O77" i="13"/>
  <c r="G29" i="13" s="1"/>
  <c r="N77" i="13"/>
  <c r="F29" i="13" s="1"/>
  <c r="M77" i="13"/>
  <c r="E29" i="13" s="1"/>
  <c r="H77" i="13"/>
  <c r="O76" i="13"/>
  <c r="G28" i="13" s="1"/>
  <c r="N76" i="13"/>
  <c r="F28" i="13" s="1"/>
  <c r="M76" i="13"/>
  <c r="E28" i="13" s="1"/>
  <c r="H76" i="13"/>
  <c r="O75" i="13"/>
  <c r="G27" i="13" s="1"/>
  <c r="N75" i="13"/>
  <c r="F27" i="13" s="1"/>
  <c r="M75" i="13"/>
  <c r="E27" i="13" s="1"/>
  <c r="H75" i="13"/>
  <c r="O74" i="13"/>
  <c r="G26" i="13" s="1"/>
  <c r="N74" i="13"/>
  <c r="F26" i="13" s="1"/>
  <c r="M74" i="13"/>
  <c r="E26" i="13" s="1"/>
  <c r="H74" i="13"/>
  <c r="P74" i="13" s="1"/>
  <c r="O73" i="13"/>
  <c r="G25" i="13" s="1"/>
  <c r="N73" i="13"/>
  <c r="F25" i="13" s="1"/>
  <c r="M73" i="13"/>
  <c r="E25" i="13" s="1"/>
  <c r="H73" i="13"/>
  <c r="P73" i="13" s="1"/>
  <c r="O72" i="13"/>
  <c r="G24" i="13" s="1"/>
  <c r="N72" i="13"/>
  <c r="F24" i="13" s="1"/>
  <c r="M72" i="13"/>
  <c r="E24" i="13" s="1"/>
  <c r="H72" i="13"/>
  <c r="P72" i="13" s="1"/>
  <c r="O67" i="13"/>
  <c r="G19" i="13" s="1"/>
  <c r="N67" i="13"/>
  <c r="F19" i="13" s="1"/>
  <c r="M67" i="13"/>
  <c r="E19" i="13" s="1"/>
  <c r="H67" i="13"/>
  <c r="P67" i="13" s="1"/>
  <c r="O66" i="13"/>
  <c r="G18" i="13" s="1"/>
  <c r="N66" i="13"/>
  <c r="F18" i="13" s="1"/>
  <c r="M66" i="13"/>
  <c r="E18" i="13" s="1"/>
  <c r="H66" i="13"/>
  <c r="P66" i="13" s="1"/>
  <c r="O64" i="13"/>
  <c r="G16" i="13" s="1"/>
  <c r="N64" i="13"/>
  <c r="F16" i="13" s="1"/>
  <c r="M64" i="13"/>
  <c r="E16" i="13" s="1"/>
  <c r="H64" i="13"/>
  <c r="P64" i="13" s="1"/>
  <c r="H16" i="13" s="1"/>
  <c r="O63" i="13"/>
  <c r="G15" i="13" s="1"/>
  <c r="N63" i="13"/>
  <c r="F15" i="13" s="1"/>
  <c r="M63" i="13"/>
  <c r="E15" i="13" s="1"/>
  <c r="H63" i="13"/>
  <c r="P63" i="13" s="1"/>
  <c r="H15" i="13" s="1"/>
  <c r="O62" i="13"/>
  <c r="G14" i="13" s="1"/>
  <c r="N62" i="13"/>
  <c r="F14" i="13" s="1"/>
  <c r="M62" i="13"/>
  <c r="E14" i="13" s="1"/>
  <c r="H62" i="13"/>
  <c r="P62" i="13" s="1"/>
  <c r="O61" i="13"/>
  <c r="G13" i="13" s="1"/>
  <c r="N61" i="13"/>
  <c r="F13" i="13" s="1"/>
  <c r="M61" i="13"/>
  <c r="E13" i="13" s="1"/>
  <c r="H61" i="13"/>
  <c r="O60" i="13"/>
  <c r="G12" i="13" s="1"/>
  <c r="N60" i="13"/>
  <c r="F12" i="13" s="1"/>
  <c r="M60" i="13"/>
  <c r="E12" i="13" s="1"/>
  <c r="H60" i="13"/>
  <c r="P60" i="13" s="1"/>
  <c r="O59" i="13"/>
  <c r="G11" i="13" s="1"/>
  <c r="N59" i="13"/>
  <c r="F11" i="13" s="1"/>
  <c r="M59" i="13"/>
  <c r="E11" i="13" s="1"/>
  <c r="H59" i="13"/>
  <c r="P59" i="13" s="1"/>
  <c r="O57" i="13"/>
  <c r="G9" i="13" s="1"/>
  <c r="N57" i="13"/>
  <c r="F9" i="13" s="1"/>
  <c r="M57" i="13"/>
  <c r="E9" i="13" s="1"/>
  <c r="H57" i="13"/>
  <c r="O56" i="13"/>
  <c r="G8" i="13" s="1"/>
  <c r="N56" i="13"/>
  <c r="F8" i="13" s="1"/>
  <c r="M56" i="13"/>
  <c r="E8" i="13" s="1"/>
  <c r="H56" i="13"/>
  <c r="P56" i="13" s="1"/>
  <c r="O55" i="13"/>
  <c r="G7" i="13" s="1"/>
  <c r="N55" i="13"/>
  <c r="F7" i="13" s="1"/>
  <c r="M55" i="13"/>
  <c r="E7" i="13" s="1"/>
  <c r="H55" i="13"/>
  <c r="O54" i="13"/>
  <c r="G6" i="13" s="1"/>
  <c r="N54" i="13"/>
  <c r="F6" i="13" s="1"/>
  <c r="M54" i="13"/>
  <c r="E6" i="13" s="1"/>
  <c r="H54" i="13"/>
  <c r="P54" i="13" s="1"/>
  <c r="H42" i="13"/>
  <c r="G42" i="13"/>
  <c r="F42" i="13"/>
  <c r="E42" i="13"/>
  <c r="E30" i="1" l="1"/>
  <c r="H20" i="13"/>
  <c r="H19" i="13"/>
  <c r="H22" i="13"/>
  <c r="H21" i="13"/>
  <c r="P87" i="13"/>
  <c r="H39" i="13" s="1"/>
  <c r="P86" i="13"/>
  <c r="H38" i="13" s="1"/>
  <c r="P84" i="13"/>
  <c r="H36" i="13" s="1"/>
  <c r="P83" i="13"/>
  <c r="H35" i="13" s="1"/>
  <c r="P82" i="13"/>
  <c r="H34" i="13" s="1"/>
  <c r="P79" i="13"/>
  <c r="H31" i="13" s="1"/>
  <c r="H30" i="13"/>
  <c r="P77" i="13"/>
  <c r="H29" i="13" s="1"/>
  <c r="P76" i="13"/>
  <c r="H28" i="13" s="1"/>
  <c r="P75" i="13"/>
  <c r="H27" i="13" s="1"/>
  <c r="H26" i="13"/>
  <c r="H25" i="13"/>
  <c r="H24" i="13"/>
  <c r="H14" i="13"/>
  <c r="P61" i="13"/>
  <c r="H13" i="13" s="1"/>
  <c r="H12" i="13"/>
  <c r="H11" i="13"/>
  <c r="P57" i="13"/>
  <c r="H9" i="13" s="1"/>
  <c r="P55" i="13"/>
  <c r="H7" i="13" s="1"/>
  <c r="H40" i="13"/>
  <c r="H6" i="13"/>
  <c r="H8" i="13"/>
  <c r="H37" i="13"/>
  <c r="H18" i="13"/>
  <c r="H41" i="13"/>
  <c r="D41" i="1" l="1"/>
  <c r="D40" i="1"/>
  <c r="E39" i="1"/>
  <c r="E38" i="1"/>
  <c r="E37" i="1"/>
  <c r="E8" i="1"/>
  <c r="E9" i="1"/>
  <c r="E7" i="1"/>
  <c r="D10" i="1"/>
  <c r="E40" i="1" l="1"/>
  <c r="E10" i="1"/>
  <c r="D21" i="1" l="1"/>
  <c r="E18" i="1" l="1"/>
  <c r="E19" i="1"/>
  <c r="E17" i="1"/>
  <c r="D20" i="1"/>
  <c r="E20" i="1" l="1"/>
</calcChain>
</file>

<file path=xl/sharedStrings.xml><?xml version="1.0" encoding="utf-8"?>
<sst xmlns="http://schemas.openxmlformats.org/spreadsheetml/2006/main" count="1452" uniqueCount="481">
  <si>
    <t>Metformin </t>
  </si>
  <si>
    <t>Parameter</t>
  </si>
  <si>
    <t>Cases, No</t>
  </si>
  <si>
    <t>N</t>
  </si>
  <si>
    <t>%</t>
  </si>
  <si>
    <t>Never</t>
  </si>
  <si>
    <t>Non-adherent</t>
  </si>
  <si>
    <t>Adherent</t>
  </si>
  <si>
    <t>기준2</t>
    <phoneticPr fontId="4" type="noConversion"/>
  </si>
  <si>
    <t>Non-regular</t>
  </si>
  <si>
    <t>Regular</t>
    <phoneticPr fontId="4" type="noConversion"/>
  </si>
  <si>
    <t>기준3</t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</si>
  <si>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2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MPR=0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</si>
  <si>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2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80% </t>
    </r>
    <r>
      <rPr>
        <sz val="11"/>
        <color rgb="FFFF0000"/>
        <rFont val="맑은 고딕"/>
        <family val="3"/>
        <charset val="129"/>
      </rPr>
      <t>미만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</si>
  <si>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2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80% </t>
    </r>
    <r>
      <rPr>
        <sz val="11"/>
        <color rgb="FFFF0000"/>
        <rFont val="맑은 고딕"/>
        <family val="3"/>
        <charset val="129"/>
      </rPr>
      <t>이상</t>
    </r>
    <phoneticPr fontId="4" type="noConversion"/>
  </si>
  <si>
    <t>Parameter</t>
    <phoneticPr fontId="4" type="noConversion"/>
  </si>
  <si>
    <t>Model 1</t>
    <phoneticPr fontId="4" type="noConversion"/>
  </si>
  <si>
    <t>Model 2</t>
  </si>
  <si>
    <t>Model 3</t>
  </si>
  <si>
    <t>p</t>
  </si>
  <si>
    <t>HR</t>
  </si>
  <si>
    <t>(95% CI)</t>
  </si>
  <si>
    <t xml:space="preserve">Metformin </t>
    <phoneticPr fontId="4" type="noConversion"/>
  </si>
  <si>
    <t>Never</t>
    <phoneticPr fontId="4" type="noConversion"/>
  </si>
  <si>
    <t>Non-adherent</t>
    <phoneticPr fontId="4" type="noConversion"/>
  </si>
  <si>
    <t>Adherent</t>
    <phoneticPr fontId="4" type="noConversion"/>
  </si>
  <si>
    <t>Acetaminophen</t>
    <phoneticPr fontId="4" type="noConversion"/>
  </si>
  <si>
    <t>Non-regular</t>
    <phoneticPr fontId="4" type="noConversion"/>
  </si>
  <si>
    <t>Ibuprofen</t>
    <phoneticPr fontId="4" type="noConversion"/>
  </si>
  <si>
    <t>Dexibuprofen</t>
    <phoneticPr fontId="4" type="noConversion"/>
  </si>
  <si>
    <r>
      <t>Model 1: adjusted for age (&lt;65 or</t>
    </r>
    <r>
      <rPr>
        <i/>
        <sz val="9"/>
        <rFont val="바탕"/>
        <family val="1"/>
        <charset val="129"/>
      </rPr>
      <t>≥</t>
    </r>
    <r>
      <rPr>
        <i/>
        <sz val="9"/>
        <rFont val="Cambria"/>
        <family val="1"/>
      </rPr>
      <t>65) and gender (female or male)</t>
    </r>
  </si>
  <si>
    <t>Model 2: further adjusted for total cholesterol (continues), exercise (never or ever),  hypertension (never or ever) and CCI score (0, 1, 2, and 3+)</t>
    <phoneticPr fontId="4" type="noConversion"/>
  </si>
  <si>
    <t xml:space="preserve">Model 3: further adjusted for aspirin and fen-based drugs (never, non-regular, regular and strong regular) </t>
    <phoneticPr fontId="4" type="noConversion"/>
  </si>
  <si>
    <t>Model 2</t>
    <phoneticPr fontId="4" type="noConversion"/>
  </si>
  <si>
    <t>Model 3</t>
    <phoneticPr fontId="4" type="noConversion"/>
  </si>
  <si>
    <t>never</t>
    <phoneticPr fontId="4" type="noConversion"/>
  </si>
  <si>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mbria"/>
        <family val="1"/>
      </rPr>
      <t>1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</si>
  <si>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1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MPR=0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</si>
  <si>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1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180</t>
    </r>
    <r>
      <rPr>
        <sz val="11"/>
        <color rgb="FFFF0000"/>
        <rFont val="Arial Unicode MS"/>
        <family val="1"/>
        <charset val="129"/>
      </rPr>
      <t>일</t>
    </r>
    <r>
      <rPr>
        <sz val="11"/>
        <color rgb="FFFF0000"/>
        <rFont val="Cambria"/>
        <family val="1"/>
      </rPr>
      <t xml:space="preserve"> </t>
    </r>
    <r>
      <rPr>
        <sz val="11"/>
        <color rgb="FFFF0000"/>
        <rFont val="맑은 고딕"/>
        <family val="3"/>
        <charset val="129"/>
      </rPr>
      <t>미만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</si>
  <si>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1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180</t>
    </r>
    <r>
      <rPr>
        <sz val="11"/>
        <color rgb="FFFF0000"/>
        <rFont val="Arial Unicode MS"/>
        <family val="1"/>
        <charset val="129"/>
      </rPr>
      <t>일</t>
    </r>
    <r>
      <rPr>
        <sz val="11"/>
        <color rgb="FFFF0000"/>
        <rFont val="Cambria"/>
        <family val="1"/>
      </rPr>
      <t xml:space="preserve"> </t>
    </r>
    <r>
      <rPr>
        <sz val="11"/>
        <color rgb="FFFF0000"/>
        <rFont val="맑은 고딕"/>
        <family val="3"/>
        <charset val="129"/>
      </rPr>
      <t>이상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</si>
  <si>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2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180</t>
    </r>
    <r>
      <rPr>
        <sz val="11"/>
        <color rgb="FFFF0000"/>
        <rFont val="Arial Unicode MS"/>
        <family val="1"/>
        <charset val="129"/>
      </rPr>
      <t>일</t>
    </r>
    <r>
      <rPr>
        <sz val="11"/>
        <color rgb="FFFF0000"/>
        <rFont val="Cambria"/>
        <family val="1"/>
      </rPr>
      <t xml:space="preserve"> </t>
    </r>
    <r>
      <rPr>
        <sz val="11"/>
        <color rgb="FFFF0000"/>
        <rFont val="맑은 고딕"/>
        <family val="3"/>
        <charset val="129"/>
      </rPr>
      <t>미만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</si>
  <si>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2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180</t>
    </r>
    <r>
      <rPr>
        <sz val="11"/>
        <color rgb="FFFF0000"/>
        <rFont val="Arial Unicode MS"/>
        <family val="1"/>
        <charset val="129"/>
      </rPr>
      <t>일</t>
    </r>
    <r>
      <rPr>
        <sz val="11"/>
        <color rgb="FFFF0000"/>
        <rFont val="Cambria"/>
        <family val="1"/>
      </rPr>
      <t xml:space="preserve"> </t>
    </r>
    <r>
      <rPr>
        <sz val="11"/>
        <color rgb="FFFF0000"/>
        <rFont val="맑은 고딕"/>
        <family val="3"/>
        <charset val="129"/>
      </rPr>
      <t>이상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</si>
  <si>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1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80% </t>
    </r>
    <r>
      <rPr>
        <sz val="11"/>
        <color rgb="FFFF0000"/>
        <rFont val="맑은 고딕"/>
        <family val="3"/>
        <charset val="129"/>
      </rPr>
      <t>미만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</si>
  <si>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>, 1</t>
    </r>
    <r>
      <rPr>
        <sz val="11"/>
        <color rgb="FFFF0000"/>
        <rFont val="맑은 고딕"/>
        <family val="3"/>
        <charset val="129"/>
      </rPr>
      <t>년동안</t>
    </r>
    <r>
      <rPr>
        <sz val="11"/>
        <color rgb="FFFF0000"/>
        <rFont val="Cambria"/>
        <family val="1"/>
      </rPr>
      <t xml:space="preserve"> 80% </t>
    </r>
    <r>
      <rPr>
        <sz val="11"/>
        <color rgb="FFFF0000"/>
        <rFont val="맑은 고딕"/>
        <family val="3"/>
        <charset val="129"/>
      </rPr>
      <t>이상</t>
    </r>
    <phoneticPr fontId="4" type="noConversion"/>
  </si>
  <si>
    <t>기준4</t>
    <phoneticPr fontId="4" type="noConversion"/>
  </si>
  <si>
    <t>기준5</t>
    <phoneticPr fontId="4" type="noConversion"/>
  </si>
  <si>
    <t>Metformin</t>
    <phoneticPr fontId="4" type="noConversion"/>
  </si>
  <si>
    <t>Total</t>
    <phoneticPr fontId="4" type="noConversion"/>
  </si>
  <si>
    <t>N(%)</t>
    <phoneticPr fontId="4" type="noConversion"/>
  </si>
  <si>
    <t>Demographic</t>
    <phoneticPr fontId="4" type="noConversion"/>
  </si>
  <si>
    <t>Gender</t>
  </si>
  <si>
    <t>Male</t>
  </si>
  <si>
    <t>Female</t>
  </si>
  <si>
    <t>Age</t>
  </si>
  <si>
    <t>&lt;65</t>
    <phoneticPr fontId="4" type="noConversion"/>
  </si>
  <si>
    <r>
      <rPr>
        <i/>
        <sz val="10.5"/>
        <rFont val="바탕"/>
        <family val="1"/>
        <charset val="129"/>
      </rPr>
      <t>≥</t>
    </r>
    <r>
      <rPr>
        <i/>
        <sz val="10.5"/>
        <rFont val="Cambria"/>
        <family val="1"/>
      </rPr>
      <t>65</t>
    </r>
    <phoneticPr fontId="4" type="noConversion"/>
  </si>
  <si>
    <t>Health factor</t>
    <phoneticPr fontId="4" type="noConversion"/>
  </si>
  <si>
    <t>BMI</t>
    <phoneticPr fontId="4" type="noConversion"/>
  </si>
  <si>
    <t>&lt;25</t>
    <phoneticPr fontId="4" type="noConversion"/>
  </si>
  <si>
    <r>
      <rPr>
        <i/>
        <sz val="10.5"/>
        <color rgb="FF000000"/>
        <rFont val="바탕"/>
        <family val="1"/>
        <charset val="129"/>
      </rPr>
      <t>≥</t>
    </r>
    <r>
      <rPr>
        <i/>
        <sz val="10.5"/>
        <color rgb="FF000000"/>
        <rFont val="Cambria"/>
        <family val="1"/>
      </rPr>
      <t>25</t>
    </r>
    <phoneticPr fontId="4" type="noConversion"/>
  </si>
  <si>
    <r>
      <t>Cholesterol</t>
    </r>
    <r>
      <rPr>
        <vertAlign val="superscript"/>
        <sz val="10.5"/>
        <rFont val="Cambria"/>
        <family val="1"/>
      </rPr>
      <t>a</t>
    </r>
    <phoneticPr fontId="4" type="noConversion"/>
  </si>
  <si>
    <t>&lt;240</t>
    <phoneticPr fontId="4" type="noConversion"/>
  </si>
  <si>
    <r>
      <rPr>
        <i/>
        <sz val="10.5"/>
        <rFont val="바탕"/>
        <family val="1"/>
        <charset val="129"/>
      </rPr>
      <t>≥</t>
    </r>
    <r>
      <rPr>
        <i/>
        <sz val="10.5"/>
        <rFont val="Cambria"/>
        <family val="1"/>
      </rPr>
      <t>240</t>
    </r>
    <phoneticPr fontId="4" type="noConversion"/>
  </si>
  <si>
    <t>Exercise</t>
    <phoneticPr fontId="4" type="noConversion"/>
  </si>
  <si>
    <t>Ever</t>
    <phoneticPr fontId="4" type="noConversion"/>
  </si>
  <si>
    <t>Disease outcomes</t>
    <phoneticPr fontId="4" type="noConversion"/>
  </si>
  <si>
    <t>Cancer</t>
    <phoneticPr fontId="4" type="noConversion"/>
  </si>
  <si>
    <t>Hypertension</t>
    <phoneticPr fontId="4" type="noConversion"/>
  </si>
  <si>
    <r>
      <t>CCI</t>
    </r>
    <r>
      <rPr>
        <vertAlign val="superscript"/>
        <sz val="10.5"/>
        <color theme="1"/>
        <rFont val="Cambria"/>
        <family val="1"/>
      </rPr>
      <t>b</t>
    </r>
    <phoneticPr fontId="4" type="noConversion"/>
  </si>
  <si>
    <r>
      <rPr>
        <i/>
        <sz val="10.5"/>
        <color theme="1"/>
        <rFont val="바탕"/>
        <family val="1"/>
        <charset val="129"/>
      </rPr>
      <t>≥</t>
    </r>
    <r>
      <rPr>
        <i/>
        <sz val="10.5"/>
        <color theme="1"/>
        <rFont val="Cambria"/>
        <family val="1"/>
      </rPr>
      <t>3</t>
    </r>
    <phoneticPr fontId="4" type="noConversion"/>
  </si>
  <si>
    <t>Survivorship</t>
    <phoneticPr fontId="4" type="noConversion"/>
  </si>
  <si>
    <t>Deaths</t>
    <phoneticPr fontId="4" type="noConversion"/>
  </si>
  <si>
    <t>Survivors</t>
    <phoneticPr fontId="4" type="noConversion"/>
  </si>
  <si>
    <t>Analgesic use</t>
    <phoneticPr fontId="4" type="noConversion"/>
  </si>
  <si>
    <r>
      <rPr>
        <i/>
        <vertAlign val="superscript"/>
        <sz val="9"/>
        <color rgb="FF000000"/>
        <rFont val="Cambria"/>
        <family val="1"/>
      </rPr>
      <t>a</t>
    </r>
    <r>
      <rPr>
        <i/>
        <sz val="9"/>
        <color rgb="FF000000"/>
        <rFont val="Cambria"/>
        <family val="1"/>
      </rPr>
      <t xml:space="preserve">Total cholesterol, </t>
    </r>
    <r>
      <rPr>
        <i/>
        <vertAlign val="superscript"/>
        <sz val="9"/>
        <color rgb="FF000000"/>
        <rFont val="Cambria"/>
        <family val="1"/>
      </rPr>
      <t>b</t>
    </r>
    <r>
      <rPr>
        <i/>
        <sz val="9"/>
        <color rgb="FF000000"/>
        <rFont val="Cambria"/>
        <family val="1"/>
      </rPr>
      <t>CCI: Charlson Comorbidity Index</t>
    </r>
    <phoneticPr fontId="4" type="noConversion"/>
  </si>
  <si>
    <t>Hyperlipidemia</t>
    <phoneticPr fontId="4" type="noConversion"/>
  </si>
  <si>
    <t>Arthritis</t>
    <phoneticPr fontId="4" type="noConversion"/>
  </si>
  <si>
    <r>
      <t>Metformin (2</t>
    </r>
    <r>
      <rPr>
        <sz val="10.5"/>
        <color rgb="FF000000"/>
        <rFont val="Arial Unicode MS"/>
        <family val="1"/>
        <charset val="129"/>
      </rPr>
      <t>년</t>
    </r>
    <r>
      <rPr>
        <sz val="10.5"/>
        <color rgb="FF000000"/>
        <rFont val="Cambria"/>
        <family val="1"/>
      </rPr>
      <t xml:space="preserve"> 180</t>
    </r>
    <r>
      <rPr>
        <sz val="10.5"/>
        <color rgb="FF000000"/>
        <rFont val="Arial Unicode MS"/>
        <family val="1"/>
        <charset val="129"/>
      </rPr>
      <t>일</t>
    </r>
    <r>
      <rPr>
        <sz val="10.5"/>
        <color rgb="FF000000"/>
        <rFont val="Cambria"/>
        <family val="1"/>
      </rPr>
      <t xml:space="preserve"> </t>
    </r>
    <r>
      <rPr>
        <sz val="10.5"/>
        <color rgb="FF000000"/>
        <rFont val="Arial Unicode MS"/>
        <family val="1"/>
        <charset val="129"/>
      </rPr>
      <t>기준</t>
    </r>
    <r>
      <rPr>
        <sz val="10.5"/>
        <color rgb="FF000000"/>
        <rFont val="Cambria"/>
        <family val="1"/>
      </rPr>
      <t>)</t>
    </r>
    <phoneticPr fontId="4" type="noConversion"/>
  </si>
  <si>
    <r>
      <t>Analgesic use (2</t>
    </r>
    <r>
      <rPr>
        <i/>
        <sz val="10.5"/>
        <color theme="1"/>
        <rFont val="Arial Unicode MS"/>
        <family val="1"/>
        <charset val="129"/>
      </rPr>
      <t>년 기준</t>
    </r>
    <r>
      <rPr>
        <i/>
        <sz val="10.5"/>
        <color theme="1"/>
        <rFont val="Cambria"/>
        <family val="1"/>
      </rPr>
      <t xml:space="preserve"> 10, 30%)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</si>
  <si>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 xml:space="preserve">, </t>
    </r>
    <r>
      <rPr>
        <sz val="11"/>
        <color rgb="FFFF0000"/>
        <rFont val="맑은 고딕"/>
        <family val="1"/>
        <charset val="129"/>
      </rPr>
      <t>총</t>
    </r>
    <r>
      <rPr>
        <sz val="11"/>
        <color rgb="FFFF0000"/>
        <rFont val="Cambria"/>
        <family val="1"/>
      </rPr>
      <t xml:space="preserve"> </t>
    </r>
    <r>
      <rPr>
        <sz val="11"/>
        <color rgb="FFFF0000"/>
        <rFont val="맑은 고딕"/>
        <family val="1"/>
        <charset val="129"/>
      </rPr>
      <t>처방기간</t>
    </r>
    <r>
      <rPr>
        <sz val="11"/>
        <color rgb="FFFF0000"/>
        <rFont val="Cambria"/>
        <family val="1"/>
      </rPr>
      <t xml:space="preserve"> </t>
    </r>
    <r>
      <rPr>
        <sz val="11"/>
        <color rgb="FFFF0000"/>
        <rFont val="맑은 고딕"/>
        <family val="1"/>
        <charset val="129"/>
      </rPr>
      <t>동안</t>
    </r>
    <r>
      <rPr>
        <sz val="11"/>
        <color rgb="FFFF0000"/>
        <rFont val="Cambria"/>
        <family val="1"/>
      </rPr>
      <t xml:space="preserve"> 80% </t>
    </r>
    <r>
      <rPr>
        <sz val="11"/>
        <color rgb="FFFF0000"/>
        <rFont val="맑은 고딕"/>
        <family val="3"/>
        <charset val="129"/>
      </rPr>
      <t>미만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</si>
  <si>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 xml:space="preserve">, </t>
    </r>
    <r>
      <rPr>
        <sz val="11"/>
        <color rgb="FFFF0000"/>
        <rFont val="맑은 고딕"/>
        <family val="1"/>
        <charset val="129"/>
      </rPr>
      <t>총</t>
    </r>
    <r>
      <rPr>
        <sz val="11"/>
        <color rgb="FFFF0000"/>
        <rFont val="Cambria"/>
        <family val="1"/>
      </rPr>
      <t xml:space="preserve"> </t>
    </r>
    <r>
      <rPr>
        <sz val="11"/>
        <color rgb="FFFF0000"/>
        <rFont val="맑은 고딕"/>
        <family val="1"/>
        <charset val="129"/>
      </rPr>
      <t>처방기간</t>
    </r>
    <r>
      <rPr>
        <sz val="11"/>
        <color rgb="FFFF0000"/>
        <rFont val="Cambria"/>
        <family val="1"/>
      </rPr>
      <t xml:space="preserve"> </t>
    </r>
    <r>
      <rPr>
        <sz val="11"/>
        <color rgb="FFFF0000"/>
        <rFont val="맑은 고딕"/>
        <family val="1"/>
        <charset val="129"/>
      </rPr>
      <t>동안</t>
    </r>
    <r>
      <rPr>
        <sz val="11"/>
        <color rgb="FFFF0000"/>
        <rFont val="Cambria"/>
        <family val="1"/>
      </rPr>
      <t xml:space="preserve"> 80% </t>
    </r>
    <r>
      <rPr>
        <sz val="11"/>
        <color rgb="FFFF0000"/>
        <rFont val="맑은 고딕"/>
        <family val="3"/>
        <charset val="129"/>
      </rPr>
      <t>이상</t>
    </r>
    <phoneticPr fontId="4" type="noConversion"/>
  </si>
  <si>
    <r>
      <rPr>
        <sz val="11"/>
        <color rgb="FFFF0000"/>
        <rFont val="맑은 고딕"/>
        <family val="3"/>
        <charset val="129"/>
      </rPr>
      <t>당뇨진단후</t>
    </r>
    <r>
      <rPr>
        <sz val="11"/>
        <color rgb="FFFF0000"/>
        <rFont val="Cambria"/>
        <family val="1"/>
      </rPr>
      <t xml:space="preserve">, </t>
    </r>
    <r>
      <rPr>
        <sz val="11"/>
        <color rgb="FFFF0000"/>
        <rFont val="Arial Unicode MS"/>
        <family val="1"/>
        <charset val="129"/>
      </rPr>
      <t>총</t>
    </r>
    <r>
      <rPr>
        <sz val="11"/>
        <color rgb="FFFF0000"/>
        <rFont val="camb"/>
        <family val="1"/>
      </rPr>
      <t xml:space="preserve"> </t>
    </r>
    <r>
      <rPr>
        <sz val="11"/>
        <color rgb="FFFF0000"/>
        <rFont val="Arial Unicode MS"/>
        <family val="1"/>
        <charset val="129"/>
      </rPr>
      <t>처방기간</t>
    </r>
    <r>
      <rPr>
        <sz val="11"/>
        <color rgb="FFFF0000"/>
        <rFont val="camb"/>
        <family val="1"/>
      </rPr>
      <t xml:space="preserve"> </t>
    </r>
    <r>
      <rPr>
        <sz val="11"/>
        <color rgb="FFFF0000"/>
        <rFont val="Arial Unicode MS"/>
        <family val="1"/>
        <charset val="129"/>
      </rPr>
      <t>동안</t>
    </r>
    <r>
      <rPr>
        <sz val="11"/>
        <color rgb="FFFF0000"/>
        <rFont val="Cambria"/>
        <family val="1"/>
      </rPr>
      <t xml:space="preserve"> MPR=0</t>
    </r>
    <phoneticPr fontId="4" type="noConversion"/>
  </si>
  <si>
    <t>N</t>
    <phoneticPr fontId="4" type="noConversion"/>
  </si>
  <si>
    <t>%</t>
    <phoneticPr fontId="4" type="noConversion"/>
  </si>
  <si>
    <t>Metformin never</t>
    <phoneticPr fontId="4" type="noConversion"/>
  </si>
  <si>
    <t>Metformin non-adherent</t>
    <phoneticPr fontId="4" type="noConversion"/>
  </si>
  <si>
    <t>Metformin adherent</t>
    <phoneticPr fontId="4" type="noConversion"/>
  </si>
  <si>
    <t>[95% CI]</t>
    <phoneticPr fontId="4" type="noConversion"/>
  </si>
  <si>
    <t>Model 1: Metformin never group with all valuables</t>
    <phoneticPr fontId="4" type="noConversion"/>
  </si>
  <si>
    <t>Model 2: Metformin non-adherent group with all valuables</t>
    <phoneticPr fontId="4" type="noConversion"/>
  </si>
  <si>
    <t>Model 3: Metformin adherent group with all valuables</t>
    <phoneticPr fontId="4" type="noConversion"/>
  </si>
  <si>
    <r>
      <t>NSAIDs</t>
    </r>
    <r>
      <rPr>
        <vertAlign val="superscript"/>
        <sz val="11"/>
        <rFont val="바탕"/>
        <family val="1"/>
        <charset val="129"/>
      </rPr>
      <t>∥</t>
    </r>
    <r>
      <rPr>
        <sz val="11"/>
        <rFont val="Cambria"/>
        <family val="1"/>
      </rPr>
      <t>and non-opioid analgesics</t>
    </r>
  </si>
  <si>
    <r>
      <rPr>
        <sz val="10.5"/>
        <color rgb="FFFF0000"/>
        <rFont val="맑은 고딕"/>
        <family val="3"/>
        <charset val="129"/>
      </rPr>
      <t>기준</t>
    </r>
    <phoneticPr fontId="4" type="noConversion"/>
  </si>
  <si>
    <r>
      <rPr>
        <sz val="11"/>
        <color rgb="FF000000"/>
        <rFont val="맑은 고딕"/>
        <family val="3"/>
        <charset val="129"/>
      </rPr>
      <t>당뇨진단후</t>
    </r>
    <r>
      <rPr>
        <sz val="11"/>
        <color rgb="FF000000"/>
        <rFont val="Cambria"/>
        <family val="1"/>
      </rPr>
      <t>, 2</t>
    </r>
    <r>
      <rPr>
        <sz val="11"/>
        <color rgb="FF000000"/>
        <rFont val="맑은 고딕"/>
        <family val="3"/>
        <charset val="129"/>
      </rPr>
      <t>년동안</t>
    </r>
    <r>
      <rPr>
        <sz val="11"/>
        <color rgb="FF000000"/>
        <rFont val="Cambria"/>
        <family val="1"/>
      </rPr>
      <t xml:space="preserve"> MPR=0</t>
    </r>
    <phoneticPr fontId="4" type="noConversion"/>
  </si>
  <si>
    <r>
      <rPr>
        <sz val="11"/>
        <color theme="1"/>
        <rFont val="맑은 고딕"/>
        <family val="3"/>
        <charset val="129"/>
      </rPr>
      <t>당뇨진단후</t>
    </r>
    <r>
      <rPr>
        <sz val="11"/>
        <color theme="1"/>
        <rFont val="Cambria"/>
        <family val="1"/>
      </rPr>
      <t>, 2</t>
    </r>
    <r>
      <rPr>
        <sz val="11"/>
        <color theme="1"/>
        <rFont val="맑은 고딕"/>
        <family val="3"/>
        <charset val="129"/>
      </rPr>
      <t>년동안</t>
    </r>
    <r>
      <rPr>
        <sz val="11"/>
        <color theme="1"/>
        <rFont val="Cambria"/>
        <family val="1"/>
      </rPr>
      <t xml:space="preserve"> 180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mbria"/>
        <family val="1"/>
      </rPr>
      <t xml:space="preserve"> </t>
    </r>
    <r>
      <rPr>
        <sz val="11"/>
        <color theme="1"/>
        <rFont val="맑은 고딕"/>
        <family val="3"/>
        <charset val="129"/>
      </rPr>
      <t>미만</t>
    </r>
    <phoneticPr fontId="4" type="noConversion"/>
  </si>
  <si>
    <r>
      <rPr>
        <sz val="11"/>
        <color theme="1"/>
        <rFont val="맑은 고딕"/>
        <family val="3"/>
        <charset val="129"/>
      </rPr>
      <t>당뇨진단후</t>
    </r>
    <r>
      <rPr>
        <sz val="11"/>
        <color theme="1"/>
        <rFont val="Cambria"/>
        <family val="1"/>
      </rPr>
      <t>, 2</t>
    </r>
    <r>
      <rPr>
        <sz val="11"/>
        <color theme="1"/>
        <rFont val="맑은 고딕"/>
        <family val="3"/>
        <charset val="129"/>
      </rPr>
      <t>년동안</t>
    </r>
    <r>
      <rPr>
        <sz val="11"/>
        <color theme="1"/>
        <rFont val="Cambria"/>
        <family val="1"/>
      </rPr>
      <t xml:space="preserve"> 180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mbria"/>
        <family val="1"/>
      </rPr>
      <t xml:space="preserve"> </t>
    </r>
    <r>
      <rPr>
        <sz val="11"/>
        <color theme="1"/>
        <rFont val="맑은 고딕"/>
        <family val="3"/>
        <charset val="129"/>
      </rPr>
      <t>이상</t>
    </r>
    <phoneticPr fontId="4" type="noConversion"/>
  </si>
  <si>
    <t>Expected</t>
    <phoneticPr fontId="4" type="noConversion"/>
  </si>
  <si>
    <t>Stdres</t>
    <phoneticPr fontId="4" type="noConversion"/>
  </si>
  <si>
    <r>
      <t>(95% CI</t>
    </r>
    <r>
      <rPr>
        <vertAlign val="superscript"/>
        <sz val="10.5"/>
        <rFont val="Cambria"/>
        <family val="1"/>
      </rPr>
      <t>†</t>
    </r>
    <r>
      <rPr>
        <sz val="10.5"/>
        <rFont val="Cambria"/>
        <family val="1"/>
      </rPr>
      <t>)</t>
    </r>
    <phoneticPr fontId="4" type="noConversion"/>
  </si>
  <si>
    <r>
      <t>HR</t>
    </r>
    <r>
      <rPr>
        <vertAlign val="superscript"/>
        <sz val="10.5"/>
        <rFont val="Cambria"/>
        <family val="1"/>
      </rPr>
      <t>*</t>
    </r>
    <phoneticPr fontId="4" type="noConversion"/>
  </si>
  <si>
    <r>
      <rPr>
        <i/>
        <vertAlign val="superscript"/>
        <sz val="9"/>
        <rFont val="Cambria"/>
        <family val="1"/>
      </rPr>
      <t>*</t>
    </r>
    <r>
      <rPr>
        <i/>
        <sz val="9"/>
        <rFont val="Cambria"/>
        <family val="1"/>
      </rPr>
      <t xml:space="preserve">HR: Hazard Ratio, </t>
    </r>
    <r>
      <rPr>
        <i/>
        <vertAlign val="superscript"/>
        <sz val="9"/>
        <rFont val="Cambria"/>
        <family val="1"/>
      </rPr>
      <t>†</t>
    </r>
    <r>
      <rPr>
        <i/>
        <sz val="9"/>
        <rFont val="Cambria"/>
        <family val="1"/>
      </rPr>
      <t xml:space="preserve">CI: Confidence Interval </t>
    </r>
    <phoneticPr fontId="4" type="noConversion"/>
  </si>
  <si>
    <r>
      <rPr>
        <b/>
        <sz val="10.5"/>
        <color rgb="FFFF0000"/>
        <rFont val="바탕"/>
        <family val="1"/>
        <charset val="129"/>
      </rPr>
      <t>이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바탕"/>
        <family val="1"/>
        <charset val="129"/>
      </rPr>
      <t>기준이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바탕"/>
        <family val="1"/>
        <charset val="129"/>
      </rPr>
      <t>맞나요</t>
    </r>
    <r>
      <rPr>
        <b/>
        <sz val="10.5"/>
        <color rgb="FFFF0000"/>
        <rFont val="Cambria"/>
        <family val="1"/>
      </rPr>
      <t>?</t>
    </r>
    <phoneticPr fontId="4" type="noConversion"/>
  </si>
  <si>
    <t>Step</t>
  </si>
  <si>
    <t>Variables</t>
  </si>
  <si>
    <t>Descriptions</t>
  </si>
  <si>
    <t>non-opioid</t>
  </si>
  <si>
    <t>analgesics</t>
  </si>
  <si>
    <t>Piroxicam</t>
  </si>
  <si>
    <t>Diclofenac</t>
  </si>
  <si>
    <t>Propacetamol</t>
  </si>
  <si>
    <t>Etodolac</t>
  </si>
  <si>
    <t>Ibuprofen</t>
  </si>
  <si>
    <t>Fenoprofen</t>
  </si>
  <si>
    <t>Naproxen</t>
  </si>
  <si>
    <t>Mefenamic acid</t>
  </si>
  <si>
    <t>Oxaprozin</t>
  </si>
  <si>
    <t>Flurbiprofen</t>
  </si>
  <si>
    <t>Ketorolac</t>
  </si>
  <si>
    <t>Clofenac</t>
  </si>
  <si>
    <t>Ketoprofen</t>
  </si>
  <si>
    <t>Indomethacin</t>
  </si>
  <si>
    <t xml:space="preserve">Week-opioid </t>
  </si>
  <si>
    <t>Codeine</t>
  </si>
  <si>
    <t>Tramadol</t>
  </si>
  <si>
    <t xml:space="preserve">Strong-opioid </t>
  </si>
  <si>
    <t>Fentanyl</t>
  </si>
  <si>
    <t>Oxycodone</t>
  </si>
  <si>
    <t xml:space="preserve">Morphine </t>
  </si>
  <si>
    <t>Unclassified</t>
  </si>
  <si>
    <t>Buprenorphine</t>
  </si>
  <si>
    <t>Hydrocodone</t>
  </si>
  <si>
    <t>Nalbuphine</t>
  </si>
  <si>
    <t>Pentazocine</t>
  </si>
  <si>
    <t>Pethidine</t>
  </si>
  <si>
    <r>
      <t>(2</t>
    </r>
    <r>
      <rPr>
        <b/>
        <sz val="11"/>
        <color rgb="FFFF0000"/>
        <rFont val="Arial Unicode MS"/>
        <family val="1"/>
        <charset val="129"/>
      </rPr>
      <t>년</t>
    </r>
    <r>
      <rPr>
        <b/>
        <sz val="11"/>
        <color rgb="FFFF0000"/>
        <rFont val="cambri"/>
        <family val="1"/>
      </rPr>
      <t xml:space="preserve"> </t>
    </r>
    <r>
      <rPr>
        <b/>
        <sz val="11"/>
        <color rgb="FFFF0000"/>
        <rFont val="Arial Unicode MS"/>
        <family val="1"/>
        <charset val="129"/>
      </rPr>
      <t>기준</t>
    </r>
    <r>
      <rPr>
        <b/>
        <sz val="11"/>
        <color rgb="FFFF0000"/>
        <rFont val="cambri"/>
        <family val="1"/>
      </rPr>
      <t xml:space="preserve">) metformin : </t>
    </r>
    <r>
      <rPr>
        <b/>
        <sz val="11"/>
        <color rgb="FFFF0000"/>
        <rFont val="Arial Unicode MS"/>
        <family val="1"/>
        <charset val="129"/>
      </rPr>
      <t>총</t>
    </r>
    <r>
      <rPr>
        <b/>
        <sz val="11"/>
        <color rgb="FFFF0000"/>
        <rFont val="cambri"/>
        <family val="1"/>
      </rPr>
      <t xml:space="preserve"> </t>
    </r>
    <r>
      <rPr>
        <b/>
        <sz val="11"/>
        <color rgb="FFFF0000"/>
        <rFont val="Arial Unicode MS"/>
        <family val="1"/>
        <charset val="129"/>
      </rPr>
      <t>처방일수</t>
    </r>
    <r>
      <rPr>
        <b/>
        <sz val="11"/>
        <color rgb="FFFF0000"/>
        <rFont val="cambri"/>
        <family val="1"/>
      </rPr>
      <t xml:space="preserve"> 180</t>
    </r>
    <r>
      <rPr>
        <b/>
        <sz val="11"/>
        <color rgb="FFFF0000"/>
        <rFont val="Arial Unicode MS"/>
        <family val="1"/>
        <charset val="129"/>
      </rPr>
      <t>일</t>
    </r>
    <r>
      <rPr>
        <b/>
        <sz val="11"/>
        <color rgb="FFFF0000"/>
        <rFont val="cambri"/>
        <family val="1"/>
      </rPr>
      <t xml:space="preserve"> </t>
    </r>
    <r>
      <rPr>
        <b/>
        <sz val="11"/>
        <color rgb="FFFF0000"/>
        <rFont val="Arial Unicode MS"/>
        <family val="1"/>
        <charset val="129"/>
      </rPr>
      <t>이상</t>
    </r>
    <r>
      <rPr>
        <b/>
        <sz val="11"/>
        <color rgb="FFFF0000"/>
        <rFont val="cambri"/>
        <family val="1"/>
      </rPr>
      <t xml:space="preserve"> Regular</t>
    </r>
    <phoneticPr fontId="4" type="noConversion"/>
  </si>
  <si>
    <r>
      <t>(2</t>
    </r>
    <r>
      <rPr>
        <b/>
        <sz val="10.5"/>
        <color rgb="FFFF0000"/>
        <rFont val="Arial Unicode MS"/>
        <family val="1"/>
        <charset val="129"/>
      </rPr>
      <t>년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기준</t>
    </r>
    <r>
      <rPr>
        <b/>
        <sz val="10.5"/>
        <color rgb="FFFF0000"/>
        <rFont val="Cambria"/>
        <family val="1"/>
      </rPr>
      <t xml:space="preserve">) NSAIDs : </t>
    </r>
    <r>
      <rPr>
        <b/>
        <sz val="10.5"/>
        <color rgb="FFFF0000"/>
        <rFont val="맑은 고딕"/>
        <family val="1"/>
        <charset val="129"/>
      </rPr>
      <t>처방일수</t>
    </r>
    <r>
      <rPr>
        <b/>
        <sz val="10.5"/>
        <color rgb="FFFF0000"/>
        <rFont val="Cambria"/>
        <family val="1"/>
      </rPr>
      <t xml:space="preserve"> 15</t>
    </r>
    <r>
      <rPr>
        <b/>
        <sz val="10.5"/>
        <color rgb="FFFF0000"/>
        <rFont val="맑은 고딕"/>
        <family val="1"/>
        <charset val="129"/>
      </rPr>
      <t>일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이상인</t>
    </r>
    <r>
      <rPr>
        <b/>
        <sz val="10.5"/>
        <color rgb="FFFF0000"/>
        <rFont val="Cambria"/>
        <family val="1"/>
      </rPr>
      <t xml:space="preserve"> month </t>
    </r>
    <r>
      <rPr>
        <b/>
        <sz val="10.5"/>
        <color rgb="FFFF0000"/>
        <rFont val="맑은 고딕"/>
        <family val="1"/>
        <charset val="129"/>
      </rPr>
      <t>가</t>
    </r>
    <r>
      <rPr>
        <b/>
        <sz val="10.5"/>
        <color rgb="FFFF0000"/>
        <rFont val="Cambria"/>
        <family val="1"/>
      </rPr>
      <t xml:space="preserve"> 6</t>
    </r>
    <r>
      <rPr>
        <b/>
        <sz val="10.5"/>
        <color rgb="FFFF0000"/>
        <rFont val="맑은 고딕"/>
        <family val="1"/>
        <charset val="129"/>
      </rPr>
      <t>번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이상</t>
    </r>
    <r>
      <rPr>
        <b/>
        <sz val="10.5"/>
        <color rgb="FFFF0000"/>
        <rFont val="Cambria"/>
        <family val="1"/>
      </rPr>
      <t xml:space="preserve"> (</t>
    </r>
    <r>
      <rPr>
        <b/>
        <sz val="10.5"/>
        <color rgb="FFFF0000"/>
        <rFont val="맑은 고딕"/>
        <family val="1"/>
        <charset val="129"/>
      </rPr>
      <t>이름이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같더라도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코드가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다른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경우</t>
    </r>
    <r>
      <rPr>
        <b/>
        <sz val="10.5"/>
        <color rgb="FFFF0000"/>
        <rFont val="Cambria"/>
        <family val="1"/>
      </rPr>
      <t xml:space="preserve">, </t>
    </r>
    <r>
      <rPr>
        <b/>
        <sz val="10.5"/>
        <color rgb="FFFF0000"/>
        <rFont val="맑은 고딕"/>
        <family val="1"/>
        <charset val="129"/>
      </rPr>
      <t>처방일수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모두</t>
    </r>
    <r>
      <rPr>
        <b/>
        <sz val="10.5"/>
        <color rgb="FFFF0000"/>
        <rFont val="Cambria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더함</t>
    </r>
    <r>
      <rPr>
        <b/>
        <sz val="10.5"/>
        <color rgb="FFFF0000"/>
        <rFont val="Cambria"/>
        <family val="1"/>
      </rPr>
      <t>)</t>
    </r>
    <phoneticPr fontId="4" type="noConversion"/>
  </si>
  <si>
    <t>진통제 Resular 기준을 확인해 주세요.</t>
    <phoneticPr fontId="4" type="noConversion"/>
  </si>
  <si>
    <t>2년동안의 처방빈도가 어느 표 인가요?</t>
    <phoneticPr fontId="4" type="noConversion"/>
  </si>
  <si>
    <t>Model 1: adjusted for age (&lt;65 or≥65) and gender (female or male)</t>
  </si>
  <si>
    <t>Model 1</t>
  </si>
  <si>
    <t xml:space="preserve">Metformin </t>
  </si>
  <si>
    <t>never</t>
  </si>
  <si>
    <t>Regular</t>
  </si>
  <si>
    <t>Age</t>
    <phoneticPr fontId="4" type="noConversion"/>
  </si>
  <si>
    <t>Gender</t>
    <phoneticPr fontId="4" type="noConversion"/>
  </si>
  <si>
    <t>Total cholesterol</t>
  </si>
  <si>
    <t>Exercise</t>
    <phoneticPr fontId="4" type="noConversion"/>
  </si>
  <si>
    <t>Never</t>
    <phoneticPr fontId="4" type="noConversion"/>
  </si>
  <si>
    <t>Hypertension</t>
    <phoneticPr fontId="4" type="noConversion"/>
  </si>
  <si>
    <t>Ever</t>
    <phoneticPr fontId="4" type="noConversion"/>
  </si>
  <si>
    <t>CCI</t>
    <phoneticPr fontId="4" type="noConversion"/>
  </si>
  <si>
    <t>3+</t>
    <phoneticPr fontId="4" type="noConversion"/>
  </si>
  <si>
    <t>&lt;65</t>
  </si>
  <si>
    <t>Female</t>
    <phoneticPr fontId="4" type="noConversion"/>
  </si>
  <si>
    <t>Analgesics use</t>
    <phoneticPr fontId="4" type="noConversion"/>
  </si>
  <si>
    <r>
      <t xml:space="preserve">1. Metformin vs Analgesics </t>
    </r>
    <r>
      <rPr>
        <b/>
        <sz val="16"/>
        <color theme="1"/>
        <rFont val="바탕"/>
        <family val="1"/>
        <charset val="129"/>
      </rPr>
      <t>교차표</t>
    </r>
    <phoneticPr fontId="4" type="noConversion"/>
  </si>
  <si>
    <t>Deaths</t>
    <phoneticPr fontId="4" type="noConversion"/>
  </si>
  <si>
    <t>Survivors</t>
    <phoneticPr fontId="4" type="noConversion"/>
  </si>
  <si>
    <t>Metformin use</t>
    <phoneticPr fontId="4" type="noConversion"/>
  </si>
  <si>
    <t>Analgesics use</t>
    <phoneticPr fontId="4" type="noConversion"/>
  </si>
  <si>
    <t>CCI</t>
    <phoneticPr fontId="4" type="noConversion"/>
  </si>
  <si>
    <t>3+</t>
    <phoneticPr fontId="4" type="noConversion"/>
  </si>
  <si>
    <t>diabetes + metformin adherent</t>
    <phoneticPr fontId="4" type="noConversion"/>
  </si>
  <si>
    <t>Body Mass Index</t>
  </si>
  <si>
    <t>당뇨 진단 받은 이후, 처음 검진받은 날짜</t>
  </si>
  <si>
    <t>Smoking</t>
    <phoneticPr fontId="4" type="noConversion"/>
  </si>
  <si>
    <t>피우지 않는다</t>
    <phoneticPr fontId="4" type="noConversion"/>
  </si>
  <si>
    <t>당뇨 진단 받은 이후, 처음 검진받은 날짜</t>
    <phoneticPr fontId="4" type="noConversion"/>
  </si>
  <si>
    <t>안한다</t>
    <phoneticPr fontId="4" type="noConversion"/>
  </si>
  <si>
    <t>Diagnosis history</t>
    <phoneticPr fontId="4" type="noConversion"/>
  </si>
  <si>
    <t>(CCI)</t>
  </si>
  <si>
    <t>Ever</t>
  </si>
  <si>
    <t>BMI</t>
    <phoneticPr fontId="4" type="noConversion"/>
  </si>
  <si>
    <t>Alcol intake</t>
    <phoneticPr fontId="4" type="noConversion"/>
  </si>
  <si>
    <t>definition</t>
    <phoneticPr fontId="4" type="noConversion"/>
  </si>
  <si>
    <t>Population</t>
    <phoneticPr fontId="4" type="noConversion"/>
  </si>
  <si>
    <t>Age at baseline</t>
    <phoneticPr fontId="4" type="noConversion"/>
  </si>
  <si>
    <r>
      <t>65</t>
    </r>
    <r>
      <rPr>
        <sz val="10"/>
        <color theme="1"/>
        <rFont val="바탕"/>
        <family val="1"/>
        <charset val="129"/>
      </rPr>
      <t>세미만</t>
    </r>
    <phoneticPr fontId="4" type="noConversion"/>
  </si>
  <si>
    <t>당뇨 진단 당시</t>
    <phoneticPr fontId="4" type="noConversion"/>
  </si>
  <si>
    <r>
      <t>65</t>
    </r>
    <r>
      <rPr>
        <sz val="10"/>
        <color theme="1"/>
        <rFont val="바탕"/>
        <family val="1"/>
        <charset val="129"/>
      </rPr>
      <t>세이상</t>
    </r>
    <phoneticPr fontId="4" type="noConversion"/>
  </si>
  <si>
    <t>Health behavior</t>
    <phoneticPr fontId="4" type="noConversion"/>
  </si>
  <si>
    <t xml:space="preserve">&lt;25 </t>
    <phoneticPr fontId="4" type="noConversion"/>
  </si>
  <si>
    <t>당뇨 진단 받은 이후, 처음 검진받은 날짜</t>
    <phoneticPr fontId="4" type="noConversion"/>
  </si>
  <si>
    <r>
      <t xml:space="preserve"> </t>
    </r>
    <r>
      <rPr>
        <sz val="10"/>
        <color theme="1"/>
        <rFont val="바탕"/>
        <family val="1"/>
        <charset val="129"/>
      </rPr>
      <t>≥</t>
    </r>
    <r>
      <rPr>
        <sz val="10"/>
        <color theme="1"/>
        <rFont val="Cambria"/>
        <family val="1"/>
      </rPr>
      <t xml:space="preserve"> 25</t>
    </r>
    <phoneticPr fontId="4" type="noConversion"/>
  </si>
  <si>
    <t>Alcohol intake</t>
    <phoneticPr fontId="4" type="noConversion"/>
  </si>
  <si>
    <t>Never(No)</t>
    <phoneticPr fontId="4" type="noConversion"/>
  </si>
  <si>
    <t>전혀 마시지 않는다</t>
    <phoneticPr fontId="4" type="noConversion"/>
  </si>
  <si>
    <t>Ever(Often/Everyday)</t>
    <phoneticPr fontId="4" type="noConversion"/>
  </si>
  <si>
    <t>1~6일㈜ 일주일에 종종 마신다 / 7일(주)거의 매일 마신다</t>
    <phoneticPr fontId="4" type="noConversion"/>
  </si>
  <si>
    <t>Ever(Quit/Yes)</t>
    <phoneticPr fontId="4" type="noConversion"/>
  </si>
  <si>
    <t>과거에 피웠으나, 지금은 끊었다 / 현재도 피운다</t>
    <phoneticPr fontId="4" type="noConversion"/>
  </si>
  <si>
    <t>Exercise</t>
    <phoneticPr fontId="4" type="noConversion"/>
  </si>
  <si>
    <t>Never(No)</t>
    <phoneticPr fontId="4" type="noConversion"/>
  </si>
  <si>
    <t>Ever(Often/Everyday)</t>
    <phoneticPr fontId="4" type="noConversion"/>
  </si>
  <si>
    <t>주 1~5일일주일에 종종 한다 / 거의 매일 한다</t>
    <phoneticPr fontId="4" type="noConversion"/>
  </si>
  <si>
    <t>Charlson Comorbidty Index</t>
    <phoneticPr fontId="4" type="noConversion"/>
  </si>
  <si>
    <t>CCI scoring (당뇨/당뇨합병증 제외)</t>
    <phoneticPr fontId="4" type="noConversion"/>
  </si>
  <si>
    <t>당뇨 진단 받은 이후, 처음 검진받은 년도에서 -1년까지</t>
    <phoneticPr fontId="4" type="noConversion"/>
  </si>
  <si>
    <r>
      <rPr>
        <sz val="10"/>
        <color theme="1"/>
        <rFont val="바탕"/>
        <family val="1"/>
        <charset val="129"/>
      </rPr>
      <t>≥</t>
    </r>
    <r>
      <rPr>
        <sz val="10"/>
        <color theme="1"/>
        <rFont val="Cambria"/>
        <family val="1"/>
      </rPr>
      <t>3</t>
    </r>
    <phoneticPr fontId="4" type="noConversion"/>
  </si>
  <si>
    <t>Hypertension</t>
    <phoneticPr fontId="4" type="noConversion"/>
  </si>
  <si>
    <r>
      <t>I10~I13 /I15 or</t>
    </r>
    <r>
      <rPr>
        <sz val="10"/>
        <color rgb="FFFF0000"/>
        <rFont val="Calibri"/>
        <family val="3"/>
        <charset val="129"/>
        <scheme val="minor"/>
      </rPr>
      <t xml:space="preserve">수축기협압(140) </t>
    </r>
    <r>
      <rPr>
        <sz val="10"/>
        <color theme="1"/>
        <rFont val="Calibri"/>
        <family val="3"/>
        <charset val="129"/>
        <scheme val="minor"/>
      </rPr>
      <t>or 이완기 혈압 (90) 과거병력코드(4.고혈압)</t>
    </r>
    <phoneticPr fontId="4" type="noConversion"/>
  </si>
  <si>
    <t>관련약제는 제외</t>
    <phoneticPr fontId="4" type="noConversion"/>
  </si>
  <si>
    <t>Total cholesterol</t>
    <phoneticPr fontId="4" type="noConversion"/>
  </si>
  <si>
    <t xml:space="preserve">&lt;240 </t>
    <phoneticPr fontId="4" type="noConversion"/>
  </si>
  <si>
    <r>
      <t xml:space="preserve"> </t>
    </r>
    <r>
      <rPr>
        <sz val="10"/>
        <color theme="1"/>
        <rFont val="바탕"/>
        <family val="1"/>
        <charset val="129"/>
      </rPr>
      <t>≥</t>
    </r>
    <r>
      <rPr>
        <sz val="10"/>
        <color theme="1"/>
        <rFont val="Cambria"/>
        <family val="1"/>
      </rPr>
      <t xml:space="preserve"> 240</t>
    </r>
    <phoneticPr fontId="4" type="noConversion"/>
  </si>
  <si>
    <t xml:space="preserve">Model 3: further adjusted for analgesics (never, non-regular, and regular) </t>
    <phoneticPr fontId="4" type="noConversion"/>
  </si>
  <si>
    <t>Model 2: further adjusted for BMI, total cholesterol (continues), exercise (never or ever),  hypertension (never or ever) and CCI score (0, 1, 2, and 3+)</t>
    <phoneticPr fontId="4" type="noConversion"/>
  </si>
  <si>
    <t>metformin외에 설포닐유레나/TZD등 약제처방 전혀 받지 않은 대상자가 몇%?</t>
    <phoneticPr fontId="4" type="noConversion"/>
  </si>
  <si>
    <t>Cases,</t>
    <phoneticPr fontId="4" type="noConversion"/>
  </si>
  <si>
    <t>Cases,</t>
    <phoneticPr fontId="4" type="noConversion"/>
  </si>
  <si>
    <t>%</t>
    <phoneticPr fontId="4" type="noConversion"/>
  </si>
  <si>
    <t>N</t>
    <phoneticPr fontId="4" type="noConversion"/>
  </si>
  <si>
    <t>타이레놀</t>
    <phoneticPr fontId="4" type="noConversion"/>
  </si>
  <si>
    <t>해열진통제</t>
    <phoneticPr fontId="4" type="noConversion"/>
  </si>
  <si>
    <t>소염진통제</t>
    <phoneticPr fontId="4" type="noConversion"/>
  </si>
  <si>
    <t>비스테로이성</t>
    <phoneticPr fontId="4" type="noConversion"/>
  </si>
  <si>
    <t>NASID</t>
    <phoneticPr fontId="4" type="noConversion"/>
  </si>
  <si>
    <t>NASID</t>
    <phoneticPr fontId="4" type="noConversion"/>
  </si>
  <si>
    <t>NASID</t>
    <phoneticPr fontId="4" type="noConversion"/>
  </si>
  <si>
    <t>NASID</t>
    <phoneticPr fontId="4" type="noConversion"/>
  </si>
  <si>
    <t>NASID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</si>
  <si>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</si>
  <si>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</si>
  <si>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</si>
  <si>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</si>
  <si>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</si>
  <si>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</si>
  <si>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Analgesic use(All)</t>
    <phoneticPr fontId="4" type="noConversion"/>
  </si>
  <si>
    <t>Model 3_1</t>
    <phoneticPr fontId="4" type="noConversion"/>
  </si>
  <si>
    <t>Aspirin</t>
    <phoneticPr fontId="4" type="noConversion"/>
  </si>
  <si>
    <t>NSAIDs(All)</t>
    <phoneticPr fontId="4" type="noConversion"/>
  </si>
  <si>
    <t>NSAIDs(Others)</t>
    <phoneticPr fontId="4" type="noConversion"/>
  </si>
  <si>
    <t>[0.956, 0.985]</t>
  </si>
  <si>
    <t>[0.996, 0.998]</t>
  </si>
  <si>
    <t>[0.955, 0.983]</t>
  </si>
  <si>
    <t>[0.727, 0.947]</t>
  </si>
  <si>
    <t>[2.057, 2.490]</t>
  </si>
  <si>
    <t>[0.644, 0.777]</t>
  </si>
  <si>
    <t>[0.825, 1.104]</t>
  </si>
  <si>
    <t>NSAID</t>
    <phoneticPr fontId="4" type="noConversion"/>
  </si>
  <si>
    <r>
      <t>HR</t>
    </r>
    <r>
      <rPr>
        <vertAlign val="superscript"/>
        <sz val="10.5"/>
        <rFont val="Palatino Linotype"/>
        <family val="1"/>
      </rPr>
      <t>*</t>
    </r>
  </si>
  <si>
    <r>
      <t>(95% CI</t>
    </r>
    <r>
      <rPr>
        <vertAlign val="superscript"/>
        <sz val="10.5"/>
        <rFont val="Palatino Linotype"/>
        <family val="1"/>
      </rPr>
      <t>†</t>
    </r>
    <r>
      <rPr>
        <sz val="10.5"/>
        <rFont val="Palatino Linotype"/>
        <family val="1"/>
      </rPr>
      <t>)</t>
    </r>
  </si>
  <si>
    <r>
      <t>≥</t>
    </r>
    <r>
      <rPr>
        <i/>
        <sz val="10.5"/>
        <rFont val="Palatino Linotype"/>
        <family val="1"/>
      </rPr>
      <t>65</t>
    </r>
  </si>
  <si>
    <r>
      <t>*</t>
    </r>
    <r>
      <rPr>
        <i/>
        <sz val="10.5"/>
        <rFont val="Palatino Linotype"/>
        <family val="1"/>
      </rPr>
      <t xml:space="preserve">HR: Hazard Ratio, </t>
    </r>
    <r>
      <rPr>
        <i/>
        <vertAlign val="superscript"/>
        <sz val="10.5"/>
        <rFont val="Palatino Linotype"/>
        <family val="1"/>
      </rPr>
      <t>†</t>
    </r>
    <r>
      <rPr>
        <i/>
        <sz val="10.5"/>
        <rFont val="Palatino Linotype"/>
        <family val="1"/>
      </rPr>
      <t xml:space="preserve">CI: Confidence Interval </t>
    </r>
  </si>
  <si>
    <r>
      <rPr>
        <sz val="10.5"/>
        <color rgb="FFFF0000"/>
        <rFont val="맑은 고딕"/>
        <family val="3"/>
        <charset val="129"/>
      </rPr>
      <t>당뇨진단후</t>
    </r>
    <r>
      <rPr>
        <sz val="10.5"/>
        <color rgb="FFFF0000"/>
        <rFont val="Cambria"/>
        <family val="1"/>
      </rPr>
      <t>, 2</t>
    </r>
    <r>
      <rPr>
        <sz val="10.5"/>
        <color rgb="FFFF0000"/>
        <rFont val="맑은 고딕"/>
        <family val="3"/>
        <charset val="129"/>
      </rPr>
      <t>년동안</t>
    </r>
    <r>
      <rPr>
        <sz val="10.5"/>
        <color rgb="FFFF0000"/>
        <rFont val="Cambria"/>
        <family val="1"/>
      </rPr>
      <t xml:space="preserve"> 180</t>
    </r>
    <r>
      <rPr>
        <sz val="10.5"/>
        <color rgb="FFFF0000"/>
        <rFont val="Arial Unicode MS"/>
        <family val="1"/>
        <charset val="129"/>
      </rPr>
      <t>일</t>
    </r>
    <r>
      <rPr>
        <sz val="10.5"/>
        <color rgb="FFFF0000"/>
        <rFont val="Cambria"/>
        <family val="1"/>
      </rPr>
      <t xml:space="preserve"> </t>
    </r>
    <r>
      <rPr>
        <sz val="10.5"/>
        <color rgb="FFFF0000"/>
        <rFont val="맑은 고딕"/>
        <family val="3"/>
        <charset val="129"/>
      </rPr>
      <t>이상</t>
    </r>
    <phoneticPr fontId="4" type="noConversion"/>
  </si>
  <si>
    <r>
      <rPr>
        <sz val="10.5"/>
        <color rgb="FFFF0000"/>
        <rFont val="맑은 고딕"/>
        <family val="3"/>
        <charset val="129"/>
      </rPr>
      <t>당뇨진단후</t>
    </r>
    <r>
      <rPr>
        <sz val="10.5"/>
        <color rgb="FFFF0000"/>
        <rFont val="Cambria"/>
        <family val="1"/>
      </rPr>
      <t>, 2</t>
    </r>
    <r>
      <rPr>
        <sz val="10.5"/>
        <color rgb="FFFF0000"/>
        <rFont val="맑은 고딕"/>
        <family val="3"/>
        <charset val="129"/>
      </rPr>
      <t>년동안</t>
    </r>
    <r>
      <rPr>
        <sz val="10.5"/>
        <color rgb="FFFF0000"/>
        <rFont val="Cambria"/>
        <family val="1"/>
      </rPr>
      <t xml:space="preserve"> MPR=0</t>
    </r>
    <phoneticPr fontId="4" type="noConversion"/>
  </si>
  <si>
    <r>
      <rPr>
        <sz val="10.5"/>
        <color rgb="FFFF0000"/>
        <rFont val="맑은 고딕"/>
        <family val="3"/>
        <charset val="129"/>
      </rPr>
      <t>당뇨진단후</t>
    </r>
    <r>
      <rPr>
        <sz val="10.5"/>
        <color rgb="FFFF0000"/>
        <rFont val="Cambria"/>
        <family val="1"/>
      </rPr>
      <t>, 2</t>
    </r>
    <r>
      <rPr>
        <sz val="10.5"/>
        <color rgb="FFFF0000"/>
        <rFont val="맑은 고딕"/>
        <family val="3"/>
        <charset val="129"/>
      </rPr>
      <t>년동안</t>
    </r>
    <r>
      <rPr>
        <sz val="10.5"/>
        <color rgb="FFFF0000"/>
        <rFont val="Cambria"/>
        <family val="1"/>
      </rPr>
      <t xml:space="preserve"> 180</t>
    </r>
    <r>
      <rPr>
        <sz val="10.5"/>
        <color rgb="FFFF0000"/>
        <rFont val="Arial Unicode MS"/>
        <family val="1"/>
        <charset val="129"/>
      </rPr>
      <t>일</t>
    </r>
    <r>
      <rPr>
        <sz val="10.5"/>
        <color rgb="FFFF0000"/>
        <rFont val="Cambria"/>
        <family val="1"/>
      </rPr>
      <t xml:space="preserve"> </t>
    </r>
    <r>
      <rPr>
        <sz val="10.5"/>
        <color rgb="FFFF0000"/>
        <rFont val="맑은 고딕"/>
        <family val="3"/>
        <charset val="129"/>
      </rPr>
      <t>미만</t>
    </r>
    <phoneticPr fontId="4" type="noConversion"/>
  </si>
  <si>
    <t>Cases, no</t>
    <phoneticPr fontId="4" type="noConversion"/>
  </si>
  <si>
    <t>Mean</t>
    <phoneticPr fontId="4" type="noConversion"/>
  </si>
  <si>
    <t>p</t>
    <phoneticPr fontId="4" type="noConversion"/>
  </si>
  <si>
    <r>
      <t xml:space="preserve">95% CI </t>
    </r>
    <r>
      <rPr>
        <vertAlign val="superscript"/>
        <sz val="10.5"/>
        <color theme="1"/>
        <rFont val="Cambria"/>
        <family val="1"/>
      </rPr>
      <t>b</t>
    </r>
    <phoneticPr fontId="4" type="noConversion"/>
  </si>
  <si>
    <r>
      <t>b</t>
    </r>
    <r>
      <rPr>
        <i/>
        <sz val="9"/>
        <color theme="1"/>
        <rFont val="Cambria"/>
        <family val="1"/>
      </rPr>
      <t>CI: Confidence Interval</t>
    </r>
    <phoneticPr fontId="4" type="noConversion"/>
  </si>
  <si>
    <t>never vs. non-adherent</t>
    <phoneticPr fontId="4" type="noConversion"/>
  </si>
  <si>
    <t>SMD</t>
    <phoneticPr fontId="4" type="noConversion"/>
  </si>
  <si>
    <r>
      <t>a</t>
    </r>
    <r>
      <rPr>
        <i/>
        <sz val="9"/>
        <color theme="1"/>
        <rFont val="Cambria"/>
        <family val="1"/>
      </rPr>
      <t>SMD: Standard Mean Difference</t>
    </r>
    <phoneticPr fontId="4" type="noConversion"/>
  </si>
  <si>
    <t>2년 동안 metformin 을 처방받지 않은 환자 26219명 중 동일한 기간에 다른 당뇨약제 또한 처방 받지 않은 환자는 21385 명 -&gt; 약 82%</t>
    <phoneticPr fontId="4" type="noConversion"/>
  </si>
  <si>
    <t>4834명은 metformin 제외한 다른약제를 처방 받음!</t>
    <phoneticPr fontId="4" type="noConversion"/>
  </si>
  <si>
    <t>[0.763, 0.995]</t>
  </si>
  <si>
    <t>[1.751, 2.143]</t>
  </si>
  <si>
    <t>[0.649, 0.787]</t>
  </si>
  <si>
    <t>[0.828, 0.997]</t>
  </si>
  <si>
    <t>[0.938, 1.155]</t>
  </si>
  <si>
    <t>[1.017, 1.320]</t>
  </si>
  <si>
    <t>[1.443, 1.906]</t>
  </si>
  <si>
    <t>[2.731, 3.518]</t>
  </si>
  <si>
    <t>[0.821, 1.118]</t>
  </si>
  <si>
    <t>[0.698, 0.968]</t>
  </si>
  <si>
    <t>[0.846, 1.133]</t>
  </si>
  <si>
    <t>[0.763, 0.996]</t>
  </si>
  <si>
    <t>[1.738, 2.129]</t>
  </si>
  <si>
    <t>[0.644, 0.782]</t>
  </si>
  <si>
    <t>[0.829, 0.998]</t>
  </si>
  <si>
    <t>[0.935, 1.156]</t>
  </si>
  <si>
    <t>[1.012, 1.313]</t>
  </si>
  <si>
    <t>[1.429, 1.888]</t>
  </si>
  <si>
    <t>[2.699, 3.482]</t>
  </si>
  <si>
    <t>[0.850, 1.140]</t>
  </si>
  <si>
    <t>[0.865, 1.080]</t>
  </si>
  <si>
    <t>[0.786, 1.080]</t>
  </si>
  <si>
    <t>[0.828, 1.106]</t>
  </si>
  <si>
    <t>[0.781, 1.005]</t>
  </si>
  <si>
    <t>[0.857, 1.062]</t>
  </si>
  <si>
    <t>[0.815, 1.170]</t>
  </si>
  <si>
    <t>[0.757, 0.988]</t>
  </si>
  <si>
    <t>[1.712, 2.090]</t>
  </si>
  <si>
    <t>[0.637, 0.771]</t>
  </si>
  <si>
    <t>[0.829, 0.999]</t>
  </si>
  <si>
    <t>[0.915, 1.125]</t>
  </si>
  <si>
    <t>[1.001, 1.297]</t>
  </si>
  <si>
    <t>[1.402, 1.846]</t>
  </si>
  <si>
    <t>[2.640, 3.388]</t>
  </si>
  <si>
    <t>[0.855, 1.145]</t>
  </si>
  <si>
    <t>[0.969, 1.278]</t>
  </si>
  <si>
    <t>[6.234, 7.718]</t>
  </si>
  <si>
    <t>[0.458, 0.563]</t>
  </si>
  <si>
    <t>[1.121, 1.510]</t>
  </si>
  <si>
    <t>[1.061, 1.403]</t>
  </si>
  <si>
    <t>[4.727, 5.911]</t>
  </si>
  <si>
    <t>[0.452, 0.559]</t>
  </si>
  <si>
    <t>[0.873, 0.903]</t>
  </si>
  <si>
    <t>[0.998, 1.000]</t>
  </si>
  <si>
    <t>[0.478, 0.590]</t>
  </si>
  <si>
    <t>[1.144, 1.449]</t>
  </si>
  <si>
    <t>[0.920, 1.200]</t>
  </si>
  <si>
    <t>[1.017, 1.367]</t>
  </si>
  <si>
    <t>[1.460, 1.930]</t>
  </si>
  <si>
    <t>[1.172, 1.579]</t>
  </si>
  <si>
    <t>[1.065, 1.408]</t>
  </si>
  <si>
    <t>[4.798, 6.016]</t>
  </si>
  <si>
    <t>[0.458, 0.567]</t>
  </si>
  <si>
    <t>[0.874, 0.904]</t>
  </si>
  <si>
    <t>[0.478, 0.589]</t>
  </si>
  <si>
    <t>[1.154, 1.465]</t>
  </si>
  <si>
    <t>[0.932, 1.218]</t>
  </si>
  <si>
    <t>[1.036, 1.398]</t>
  </si>
  <si>
    <t>[1.486, 1.973]</t>
  </si>
  <si>
    <t>[0.705, 0.991]</t>
  </si>
  <si>
    <t>[0.679, 0.967]</t>
  </si>
  <si>
    <t>[1.165, 1.570]</t>
  </si>
  <si>
    <t>[1.058, 1.401]</t>
  </si>
  <si>
    <t>[4.761, 5.974]</t>
  </si>
  <si>
    <t>[0.462, 0.573]</t>
  </si>
  <si>
    <t>[0.875, 0.904]</t>
  </si>
  <si>
    <t>[0.479, 0.591]</t>
  </si>
  <si>
    <t>[1.125, 1.434]</t>
  </si>
  <si>
    <t>[0.939, 1.228]</t>
  </si>
  <si>
    <t>[1.033, 1.395]</t>
  </si>
  <si>
    <t>[1.462, 1.947]</t>
  </si>
  <si>
    <t>[0.745, 0.945]</t>
  </si>
  <si>
    <t>[0.730, 1.021]</t>
  </si>
  <si>
    <t>[1.018, 1.360]</t>
  </si>
  <si>
    <t>[0.876, 1.140]</t>
  </si>
  <si>
    <t>[0.715, 0.903]</t>
  </si>
  <si>
    <t>[0.896, 1.282]</t>
  </si>
  <si>
    <t>[1.141, 1.540]</t>
  </si>
  <si>
    <t>Std.Err.</t>
    <phoneticPr fontId="4" type="noConversion"/>
  </si>
  <si>
    <t xml:space="preserve">never vs. adherent </t>
    <phoneticPr fontId="4" type="noConversion"/>
  </si>
  <si>
    <t>non-adherent vs. adherent</t>
    <phoneticPr fontId="4" type="noConversion"/>
  </si>
  <si>
    <t>Model_never</t>
    <phoneticPr fontId="4" type="noConversion"/>
  </si>
  <si>
    <t>Model_non-adherent</t>
    <phoneticPr fontId="4" type="noConversion"/>
  </si>
  <si>
    <t>Model_adherent</t>
    <phoneticPr fontId="4" type="noConversion"/>
  </si>
  <si>
    <t>[0.596, 0.989]</t>
  </si>
  <si>
    <t>[0.954, 1.027]</t>
  </si>
  <si>
    <t>[0.995, 1.001]</t>
  </si>
  <si>
    <t>[0.640, 1.044]</t>
  </si>
  <si>
    <t>[0.701, 1.225]</t>
  </si>
  <si>
    <t>[0.961, 1.815]</t>
  </si>
  <si>
    <t>[0.823, 1.810]</t>
  </si>
  <si>
    <t>[2.332, 4.510]</t>
  </si>
  <si>
    <t>[0.669, 1.576]</t>
  </si>
  <si>
    <t>[0.608, 1.465]</t>
  </si>
  <si>
    <t>[1.868, 3.176]</t>
  </si>
  <si>
    <t>[0.418, 0.763]</t>
  </si>
  <si>
    <t>[0.901, 0.982]</t>
  </si>
  <si>
    <t>[0.993, 1.000]</t>
  </si>
  <si>
    <t>[0.651, 1.131]</t>
  </si>
  <si>
    <t>[0.761, 1.400]</t>
  </si>
  <si>
    <t>[0.856, 1.781]</t>
  </si>
  <si>
    <t>[1.081, 2.514]</t>
  </si>
  <si>
    <t>[1.908, 4.043]</t>
  </si>
  <si>
    <t>[1.108, 3.080]</t>
  </si>
  <si>
    <t>[0.920, 2.755]</t>
  </si>
  <si>
    <t>[1.883, 3.433]</t>
  </si>
  <si>
    <t>[0.649, 0.811]</t>
  </si>
  <si>
    <t>[0.954, 0.988]</t>
  </si>
  <si>
    <t>[0.996, 0.999]</t>
  </si>
  <si>
    <t>[0.837, 1.040]</t>
  </si>
  <si>
    <t>[0.943, 1.200]</t>
  </si>
  <si>
    <t>[0.954, 1.300]</t>
  </si>
  <si>
    <t>[1.488, 2.048]</t>
  </si>
  <si>
    <t>[2.712, 3.644]</t>
  </si>
  <si>
    <t>[0.715, 1.016]</t>
  </si>
  <si>
    <t>[0.601, 0.872]</t>
  </si>
  <si>
    <t>[1.591, 2.009]</t>
  </si>
  <si>
    <t>chisq-test</t>
  </si>
  <si>
    <t>Cases, no</t>
  </si>
  <si>
    <t>Mean</t>
  </si>
  <si>
    <r>
      <t>Std.Err</t>
    </r>
    <r>
      <rPr>
        <vertAlign val="superscript"/>
        <sz val="10.5"/>
        <color rgb="FF000000"/>
        <rFont val="Palatino Linotype"/>
        <family val="1"/>
      </rPr>
      <t>.a</t>
    </r>
  </si>
  <si>
    <r>
      <t>95% CI</t>
    </r>
    <r>
      <rPr>
        <vertAlign val="superscript"/>
        <sz val="10.5"/>
        <color rgb="FF000000"/>
        <rFont val="Palatino Linotype"/>
        <family val="1"/>
      </rPr>
      <t>b</t>
    </r>
  </si>
  <si>
    <t>Total population (n=39,859)</t>
  </si>
  <si>
    <t>Cancer, ever (n=1,824)</t>
  </si>
  <si>
    <t>[1970.30-2056.37]</t>
  </si>
  <si>
    <t>[1869.41-2086.14]</t>
  </si>
  <si>
    <t>[1796.07-1985.59]</t>
  </si>
  <si>
    <r>
      <t>SMD</t>
    </r>
    <r>
      <rPr>
        <vertAlign val="superscript"/>
        <sz val="10.5"/>
        <color rgb="FF000000"/>
        <rFont val="Palatino Linotype"/>
        <family val="1"/>
      </rPr>
      <t>c</t>
    </r>
  </si>
  <si>
    <t>Never vs. Non-adherent</t>
  </si>
  <si>
    <t>[-86.92-260.81]</t>
  </si>
  <si>
    <t xml:space="preserve">Never vs. Adherent </t>
  </si>
  <si>
    <t>[-3.86-248.87]</t>
  </si>
  <si>
    <r>
      <t>0.059</t>
    </r>
    <r>
      <rPr>
        <vertAlign val="superscript"/>
        <sz val="10.5"/>
        <color rgb="FF000000"/>
        <rFont val="Palatino Linotype"/>
        <family val="1"/>
      </rPr>
      <t>*</t>
    </r>
  </si>
  <si>
    <t>Non-adherent vs. Adherent</t>
  </si>
  <si>
    <t>[-104.17-175.29]</t>
  </si>
  <si>
    <r>
      <t>a</t>
    </r>
    <r>
      <rPr>
        <i/>
        <sz val="9"/>
        <color rgb="FF000000"/>
        <rFont val="Palatino Linotype"/>
        <family val="1"/>
      </rPr>
      <t xml:space="preserve">Std.Err: Standard Error, </t>
    </r>
    <r>
      <rPr>
        <i/>
        <vertAlign val="superscript"/>
        <sz val="9"/>
        <color rgb="FF000000"/>
        <rFont val="Palatino Linotype"/>
        <family val="1"/>
      </rPr>
      <t xml:space="preserve"> b</t>
    </r>
    <r>
      <rPr>
        <i/>
        <sz val="9"/>
        <color rgb="FF000000"/>
        <rFont val="Palatino Linotype"/>
        <family val="1"/>
      </rPr>
      <t xml:space="preserve">CI: Confidence Interval, </t>
    </r>
    <r>
      <rPr>
        <i/>
        <vertAlign val="superscript"/>
        <sz val="9"/>
        <color rgb="FF000000"/>
        <rFont val="Palatino Linotype"/>
        <family val="1"/>
      </rPr>
      <t>c</t>
    </r>
    <r>
      <rPr>
        <i/>
        <sz val="9"/>
        <color rgb="FF000000"/>
        <rFont val="Palatino Linotype"/>
        <family val="1"/>
      </rPr>
      <t xml:space="preserve">SMD: Standard Mean Difference </t>
    </r>
  </si>
  <si>
    <r>
      <t>Day</t>
    </r>
    <r>
      <rPr>
        <vertAlign val="superscript"/>
        <sz val="10.5"/>
        <color theme="1"/>
        <rFont val="Palatino Linotype"/>
        <family val="1"/>
      </rPr>
      <t>a</t>
    </r>
  </si>
  <si>
    <r>
      <t>SD</t>
    </r>
    <r>
      <rPr>
        <vertAlign val="superscript"/>
        <sz val="10.5"/>
        <color theme="1"/>
        <rFont val="Palatino Linotype"/>
        <family val="1"/>
      </rPr>
      <t>b</t>
    </r>
  </si>
  <si>
    <t>Cases, N</t>
  </si>
  <si>
    <r>
      <t>NSAID</t>
    </r>
    <r>
      <rPr>
        <vertAlign val="superscript"/>
        <sz val="10.5"/>
        <color theme="1"/>
        <rFont val="Palatino Linotype"/>
        <family val="1"/>
      </rPr>
      <t>c</t>
    </r>
  </si>
  <si>
    <t>Acetaminophen</t>
  </si>
  <si>
    <t>and</t>
  </si>
  <si>
    <t xml:space="preserve">Aspirin </t>
  </si>
  <si>
    <t xml:space="preserve">Celecoxib </t>
  </si>
  <si>
    <t>Nabumetone</t>
  </si>
  <si>
    <t>Rofecoxib</t>
  </si>
  <si>
    <t>Dexibuprofen</t>
  </si>
  <si>
    <r>
      <t>a</t>
    </r>
    <r>
      <rPr>
        <sz val="9"/>
        <color rgb="FF000000"/>
        <rFont val="Palatino Linotype"/>
        <family val="1"/>
      </rPr>
      <t xml:space="preserve">Day: Days ~, </t>
    </r>
    <r>
      <rPr>
        <i/>
        <vertAlign val="superscript"/>
        <sz val="9"/>
        <color rgb="FF000000"/>
        <rFont val="Palatino Linotype"/>
        <family val="1"/>
      </rPr>
      <t>b</t>
    </r>
    <r>
      <rPr>
        <sz val="9"/>
        <color rgb="FF000000"/>
        <rFont val="Palatino Linotype"/>
        <family val="1"/>
      </rPr>
      <t>SD: Standard Deviation</t>
    </r>
  </si>
  <si>
    <r>
      <t>*</t>
    </r>
    <r>
      <rPr>
        <i/>
        <sz val="9"/>
        <color rgb="FF000000"/>
        <rFont val="Palatino Linotype"/>
        <family val="1"/>
      </rPr>
      <t>NSAID: Nonsteroidal anti-inflammatory drug</t>
    </r>
  </si>
  <si>
    <t>2~3단계도 확인해 주세요</t>
    <phoneticPr fontId="4" type="noConversion"/>
  </si>
  <si>
    <t>Cases,</t>
  </si>
  <si>
    <r>
      <t>HR</t>
    </r>
    <r>
      <rPr>
        <vertAlign val="superscript"/>
        <sz val="10.5"/>
        <color theme="1"/>
        <rFont val="Palatino Linotype"/>
        <family val="1"/>
      </rPr>
      <t>a</t>
    </r>
  </si>
  <si>
    <t>CCI (Charlson Comorbidity Index)</t>
  </si>
  <si>
    <t>3+</t>
  </si>
  <si>
    <t>First-step analgesics</t>
  </si>
  <si>
    <r>
      <t>a</t>
    </r>
    <r>
      <rPr>
        <i/>
        <sz val="9"/>
        <color theme="1"/>
        <rFont val="Palatino Linotype"/>
        <family val="1"/>
      </rPr>
      <t xml:space="preserve">HR: Hazard Ratio, </t>
    </r>
    <r>
      <rPr>
        <i/>
        <vertAlign val="superscript"/>
        <sz val="9"/>
        <color theme="1"/>
        <rFont val="Palatino Linotype"/>
        <family val="1"/>
      </rPr>
      <t>b</t>
    </r>
    <r>
      <rPr>
        <i/>
        <sz val="9"/>
        <color theme="1"/>
        <rFont val="Palatino Linotype"/>
        <family val="1"/>
      </rPr>
      <t>CI: Confidence Interval</t>
    </r>
  </si>
  <si>
    <r>
      <t>*</t>
    </r>
    <r>
      <rPr>
        <i/>
        <sz val="9"/>
        <color theme="1"/>
        <rFont val="Palatino Linotype"/>
        <family val="1"/>
      </rPr>
      <t xml:space="preserve">p&gt;0.1, </t>
    </r>
    <r>
      <rPr>
        <i/>
        <vertAlign val="superscript"/>
        <sz val="9"/>
        <color theme="1"/>
        <rFont val="Palatino Linotype"/>
        <family val="1"/>
      </rPr>
      <t>**</t>
    </r>
    <r>
      <rPr>
        <i/>
        <sz val="9"/>
        <color theme="1"/>
        <rFont val="Palatino Linotype"/>
        <family val="1"/>
      </rPr>
      <t xml:space="preserve">p&gt;0.05, </t>
    </r>
    <r>
      <rPr>
        <i/>
        <vertAlign val="superscript"/>
        <sz val="9"/>
        <color theme="1"/>
        <rFont val="Palatino Linotype"/>
        <family val="1"/>
      </rPr>
      <t>***</t>
    </r>
    <r>
      <rPr>
        <i/>
        <sz val="9"/>
        <color theme="1"/>
        <rFont val="Palatino Linotype"/>
        <family val="1"/>
      </rPr>
      <t>p&gt;0.001</t>
    </r>
  </si>
  <si>
    <r>
      <t>Model 1: adjusted for age (&lt;65 or</t>
    </r>
    <r>
      <rPr>
        <i/>
        <sz val="9"/>
        <color theme="1"/>
        <rFont val="바탕"/>
        <family val="1"/>
        <charset val="129"/>
      </rPr>
      <t>≥</t>
    </r>
    <r>
      <rPr>
        <i/>
        <sz val="9"/>
        <color theme="1"/>
        <rFont val="Palatino Linotype"/>
        <family val="1"/>
      </rPr>
      <t>65) and gender (female or male)</t>
    </r>
  </si>
  <si>
    <t>Model 2: further adjusted for total cholesterol (continues), exercise (never or ever),  hypertension (never or ever) and CCI score (0, 1, 2, and 3+)</t>
  </si>
  <si>
    <t xml:space="preserve">Model 3: further adjusted for first-step analgesics (never, non-regular, and regular) </t>
  </si>
  <si>
    <r>
      <t>(2</t>
    </r>
    <r>
      <rPr>
        <b/>
        <sz val="10.5"/>
        <color rgb="FFFF0000"/>
        <rFont val="Arial Unicode MS"/>
        <family val="1"/>
        <charset val="129"/>
      </rPr>
      <t>년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기준</t>
    </r>
    <r>
      <rPr>
        <b/>
        <sz val="10.5"/>
        <color rgb="FFFF0000"/>
        <rFont val="Palatino Linotype"/>
        <family val="1"/>
      </rPr>
      <t xml:space="preserve">) NSAIDs : </t>
    </r>
    <r>
      <rPr>
        <b/>
        <sz val="10.5"/>
        <color rgb="FFFF0000"/>
        <rFont val="맑은 고딕"/>
        <family val="1"/>
        <charset val="129"/>
      </rPr>
      <t>처방일수</t>
    </r>
    <r>
      <rPr>
        <b/>
        <sz val="10.5"/>
        <color rgb="FFFF0000"/>
        <rFont val="Palatino Linotype"/>
        <family val="1"/>
      </rPr>
      <t xml:space="preserve"> 15</t>
    </r>
    <r>
      <rPr>
        <b/>
        <sz val="10.5"/>
        <color rgb="FFFF0000"/>
        <rFont val="맑은 고딕"/>
        <family val="1"/>
        <charset val="129"/>
      </rPr>
      <t>일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이상인</t>
    </r>
    <r>
      <rPr>
        <b/>
        <sz val="10.5"/>
        <color rgb="FFFF0000"/>
        <rFont val="Palatino Linotype"/>
        <family val="1"/>
      </rPr>
      <t xml:space="preserve"> month </t>
    </r>
    <r>
      <rPr>
        <b/>
        <sz val="10.5"/>
        <color rgb="FFFF0000"/>
        <rFont val="맑은 고딕"/>
        <family val="1"/>
        <charset val="129"/>
      </rPr>
      <t>가</t>
    </r>
    <r>
      <rPr>
        <b/>
        <sz val="10.5"/>
        <color rgb="FFFF0000"/>
        <rFont val="Palatino Linotype"/>
        <family val="1"/>
      </rPr>
      <t xml:space="preserve"> 6</t>
    </r>
    <r>
      <rPr>
        <b/>
        <sz val="10.5"/>
        <color rgb="FFFF0000"/>
        <rFont val="맑은 고딕"/>
        <family val="1"/>
        <charset val="129"/>
      </rPr>
      <t>번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이상</t>
    </r>
    <r>
      <rPr>
        <b/>
        <sz val="10.5"/>
        <color rgb="FFFF0000"/>
        <rFont val="Palatino Linotype"/>
        <family val="1"/>
      </rPr>
      <t xml:space="preserve"> (</t>
    </r>
    <r>
      <rPr>
        <b/>
        <sz val="10.5"/>
        <color rgb="FFFF0000"/>
        <rFont val="맑은 고딕"/>
        <family val="1"/>
        <charset val="129"/>
      </rPr>
      <t>이름이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같더라도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코드가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다른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경우</t>
    </r>
    <r>
      <rPr>
        <b/>
        <sz val="10.5"/>
        <color rgb="FFFF0000"/>
        <rFont val="Palatino Linotype"/>
        <family val="1"/>
      </rPr>
      <t xml:space="preserve">, </t>
    </r>
    <r>
      <rPr>
        <b/>
        <sz val="10.5"/>
        <color rgb="FFFF0000"/>
        <rFont val="맑은 고딕"/>
        <family val="1"/>
        <charset val="129"/>
      </rPr>
      <t>처방일수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모두</t>
    </r>
    <r>
      <rPr>
        <b/>
        <sz val="10.5"/>
        <color rgb="FFFF0000"/>
        <rFont val="Palatino Linotype"/>
        <family val="1"/>
      </rPr>
      <t xml:space="preserve"> </t>
    </r>
    <r>
      <rPr>
        <b/>
        <sz val="10.5"/>
        <color rgb="FFFF0000"/>
        <rFont val="맑은 고딕"/>
        <family val="1"/>
        <charset val="129"/>
      </rPr>
      <t>더함</t>
    </r>
    <r>
      <rPr>
        <b/>
        <sz val="10.5"/>
        <color rgb="FFFF0000"/>
        <rFont val="Palatino Linotype"/>
        <family val="1"/>
      </rPr>
      <t>)</t>
    </r>
    <phoneticPr fontId="4" type="noConversion"/>
  </si>
  <si>
    <r>
      <t>HR</t>
    </r>
    <r>
      <rPr>
        <vertAlign val="superscript"/>
        <sz val="10.5"/>
        <rFont val="Palatino Linotype"/>
        <family val="1"/>
      </rPr>
      <t>*</t>
    </r>
    <phoneticPr fontId="4" type="noConversion"/>
  </si>
  <si>
    <r>
      <t>(95% CI</t>
    </r>
    <r>
      <rPr>
        <vertAlign val="superscript"/>
        <sz val="10.5"/>
        <rFont val="Palatino Linotype"/>
        <family val="1"/>
      </rPr>
      <t>†</t>
    </r>
    <r>
      <rPr>
        <sz val="10.5"/>
        <rFont val="Palatino Linotype"/>
        <family val="1"/>
      </rPr>
      <t>)</t>
    </r>
    <phoneticPr fontId="4" type="noConversion"/>
  </si>
  <si>
    <r>
      <rPr>
        <i/>
        <vertAlign val="superscript"/>
        <sz val="9"/>
        <rFont val="Palatino Linotype"/>
        <family val="1"/>
      </rPr>
      <t>*</t>
    </r>
    <r>
      <rPr>
        <i/>
        <sz val="9"/>
        <rFont val="Palatino Linotype"/>
        <family val="1"/>
      </rPr>
      <t xml:space="preserve">HR: Hazard Ratio, </t>
    </r>
    <r>
      <rPr>
        <i/>
        <vertAlign val="superscript"/>
        <sz val="9"/>
        <rFont val="Palatino Linotype"/>
        <family val="1"/>
      </rPr>
      <t>†</t>
    </r>
    <r>
      <rPr>
        <i/>
        <sz val="9"/>
        <rFont val="Palatino Linotype"/>
        <family val="1"/>
      </rPr>
      <t xml:space="preserve">CI: Confidence Interval </t>
    </r>
    <phoneticPr fontId="4" type="noConversion"/>
  </si>
  <si>
    <r>
      <t>Model 1: adjusted for age (&lt;65 or</t>
    </r>
    <r>
      <rPr>
        <i/>
        <sz val="9"/>
        <rFont val="바탕"/>
        <family val="1"/>
        <charset val="129"/>
      </rPr>
      <t>≥</t>
    </r>
    <r>
      <rPr>
        <i/>
        <sz val="9"/>
        <rFont val="Palatino Linotype"/>
        <family val="1"/>
      </rPr>
      <t>65) and gender (female or male)</t>
    </r>
  </si>
  <si>
    <r>
      <t>(2</t>
    </r>
    <r>
      <rPr>
        <b/>
        <sz val="11"/>
        <color rgb="FFFF0000"/>
        <rFont val="Arial Unicode MS"/>
        <family val="1"/>
        <charset val="129"/>
      </rPr>
      <t>년</t>
    </r>
    <r>
      <rPr>
        <b/>
        <sz val="11"/>
        <color rgb="FFFF0000"/>
        <rFont val="Palatino Linotype"/>
        <family val="1"/>
      </rPr>
      <t xml:space="preserve"> </t>
    </r>
    <r>
      <rPr>
        <b/>
        <sz val="11"/>
        <color rgb="FFFF0000"/>
        <rFont val="Arial Unicode MS"/>
        <family val="1"/>
        <charset val="129"/>
      </rPr>
      <t>기준</t>
    </r>
    <r>
      <rPr>
        <b/>
        <sz val="11"/>
        <color rgb="FFFF0000"/>
        <rFont val="Palatino Linotype"/>
        <family val="1"/>
      </rPr>
      <t xml:space="preserve">) metformin : </t>
    </r>
    <r>
      <rPr>
        <b/>
        <sz val="11"/>
        <color rgb="FFFF0000"/>
        <rFont val="Arial Unicode MS"/>
        <family val="1"/>
        <charset val="129"/>
      </rPr>
      <t>총</t>
    </r>
    <r>
      <rPr>
        <b/>
        <sz val="11"/>
        <color rgb="FFFF0000"/>
        <rFont val="Palatino Linotype"/>
        <family val="1"/>
      </rPr>
      <t xml:space="preserve"> </t>
    </r>
    <r>
      <rPr>
        <b/>
        <sz val="11"/>
        <color rgb="FFFF0000"/>
        <rFont val="Arial Unicode MS"/>
        <family val="1"/>
        <charset val="129"/>
      </rPr>
      <t>처방일수</t>
    </r>
    <r>
      <rPr>
        <b/>
        <sz val="11"/>
        <color rgb="FFFF0000"/>
        <rFont val="Palatino Linotype"/>
        <family val="1"/>
      </rPr>
      <t xml:space="preserve"> 180</t>
    </r>
    <r>
      <rPr>
        <b/>
        <sz val="11"/>
        <color rgb="FFFF0000"/>
        <rFont val="Arial Unicode MS"/>
        <family val="1"/>
        <charset val="129"/>
      </rPr>
      <t>일</t>
    </r>
    <r>
      <rPr>
        <b/>
        <sz val="11"/>
        <color rgb="FFFF0000"/>
        <rFont val="Palatino Linotype"/>
        <family val="1"/>
      </rPr>
      <t xml:space="preserve"> </t>
    </r>
    <r>
      <rPr>
        <b/>
        <sz val="11"/>
        <color rgb="FFFF0000"/>
        <rFont val="Arial Unicode MS"/>
        <family val="1"/>
        <charset val="129"/>
      </rPr>
      <t>이상</t>
    </r>
    <r>
      <rPr>
        <b/>
        <sz val="11"/>
        <color rgb="FFFF0000"/>
        <rFont val="Palatino Linotype"/>
        <family val="1"/>
      </rPr>
      <t xml:space="preserve"> Regular</t>
    </r>
    <phoneticPr fontId="4" type="noConversion"/>
  </si>
  <si>
    <t>Model 4</t>
  </si>
  <si>
    <t>[1.738-2.129]</t>
  </si>
  <si>
    <t>BMI(Body Mass Index)</t>
  </si>
  <si>
    <t>Exercise</t>
  </si>
  <si>
    <t>Hypertension</t>
  </si>
  <si>
    <t>CCI (Charlson comorbidity index)</t>
  </si>
  <si>
    <t>Aspirin</t>
  </si>
  <si>
    <r>
      <t>a</t>
    </r>
    <r>
      <rPr>
        <i/>
        <sz val="9"/>
        <color rgb="FF000000"/>
        <rFont val="Palatino Linotype"/>
        <family val="1"/>
      </rPr>
      <t xml:space="preserve">HR: Hazard Ratio, </t>
    </r>
    <r>
      <rPr>
        <i/>
        <vertAlign val="superscript"/>
        <sz val="9"/>
        <color rgb="FF000000"/>
        <rFont val="Palatino Linotype"/>
        <family val="1"/>
      </rPr>
      <t>b</t>
    </r>
    <r>
      <rPr>
        <i/>
        <sz val="9"/>
        <color rgb="FF000000"/>
        <rFont val="Palatino Linotype"/>
        <family val="1"/>
      </rPr>
      <t>CI: Confidence Interval</t>
    </r>
  </si>
  <si>
    <t xml:space="preserve">Model 4: further adjusted for acetaminophen, NSAID and aspirin (never, non-regular, and regular) </t>
  </si>
  <si>
    <t>95% CI</t>
    <phoneticPr fontId="4" type="noConversion"/>
  </si>
  <si>
    <t>95% CI</t>
    <phoneticPr fontId="4" type="noConversion"/>
  </si>
  <si>
    <t>0.825-1.104</t>
    <phoneticPr fontId="4" type="noConversion"/>
  </si>
  <si>
    <t>0.727-0.947</t>
    <phoneticPr fontId="4" type="noConversion"/>
  </si>
  <si>
    <t>0.855-1.145</t>
    <phoneticPr fontId="4" type="noConversion"/>
  </si>
  <si>
    <t>0.757-0.988</t>
    <phoneticPr fontId="4" type="noConversion"/>
  </si>
  <si>
    <t>1.014-1.315</t>
    <phoneticPr fontId="4" type="noConversion"/>
  </si>
  <si>
    <t>1.433-1.892</t>
    <phoneticPr fontId="4" type="noConversion"/>
  </si>
  <si>
    <t>2.726-3.513</t>
    <phoneticPr fontId="4" type="noConversion"/>
  </si>
  <si>
    <t>0.698-0.968</t>
    <phoneticPr fontId="4" type="noConversion"/>
  </si>
  <si>
    <t>0.821-1.118</t>
    <phoneticPr fontId="4" type="noConversion"/>
  </si>
  <si>
    <t>0.763-0.995</t>
    <phoneticPr fontId="4" type="noConversion"/>
  </si>
  <si>
    <t>0.846-1.133</t>
    <phoneticPr fontId="4" type="noConversion"/>
  </si>
  <si>
    <r>
      <t>95% CI</t>
    </r>
    <r>
      <rPr>
        <vertAlign val="superscript"/>
        <sz val="10.5"/>
        <color theme="1"/>
        <rFont val="Palatino Linotype"/>
        <family val="1"/>
      </rPr>
      <t>b</t>
    </r>
    <phoneticPr fontId="4" type="noConversion"/>
  </si>
  <si>
    <r>
      <rPr>
        <i/>
        <vertAlign val="superscript"/>
        <sz val="9"/>
        <color rgb="FF000000"/>
        <rFont val="Cambria"/>
        <family val="1"/>
      </rPr>
      <t>a</t>
    </r>
    <r>
      <rPr>
        <i/>
        <sz val="9"/>
        <color rgb="FF000000"/>
        <rFont val="Cambria"/>
        <family val="1"/>
      </rPr>
      <t xml:space="preserve">BMI: body mass index, </t>
    </r>
    <r>
      <rPr>
        <i/>
        <vertAlign val="superscript"/>
        <sz val="9"/>
        <color rgb="FF000000"/>
        <rFont val="Cambria"/>
        <family val="1"/>
      </rPr>
      <t>b</t>
    </r>
    <r>
      <rPr>
        <i/>
        <sz val="9"/>
        <color rgb="FF000000"/>
        <rFont val="Cambria"/>
        <family val="1"/>
      </rPr>
      <t>Total cholesterol,</t>
    </r>
    <r>
      <rPr>
        <i/>
        <vertAlign val="superscript"/>
        <sz val="9"/>
        <color rgb="FF000000"/>
        <rFont val="Cambria"/>
        <family val="1"/>
      </rPr>
      <t xml:space="preserve"> c</t>
    </r>
    <r>
      <rPr>
        <i/>
        <sz val="9"/>
        <color rgb="FF000000"/>
        <rFont val="Cambria"/>
        <family val="1"/>
      </rPr>
      <t>CCI: Charlson Comorbidity Index</t>
    </r>
    <phoneticPr fontId="4" type="noConversion"/>
  </si>
  <si>
    <r>
      <t>BMI</t>
    </r>
    <r>
      <rPr>
        <vertAlign val="superscript"/>
        <sz val="10.5"/>
        <color theme="1"/>
        <rFont val="Cambria"/>
        <family val="1"/>
      </rPr>
      <t>a</t>
    </r>
    <phoneticPr fontId="4" type="noConversion"/>
  </si>
  <si>
    <r>
      <t>Cholesterol</t>
    </r>
    <r>
      <rPr>
        <vertAlign val="superscript"/>
        <sz val="10.5"/>
        <rFont val="Cambria"/>
        <family val="1"/>
      </rPr>
      <t>b</t>
    </r>
    <phoneticPr fontId="4" type="noConversion"/>
  </si>
  <si>
    <r>
      <t>CCI</t>
    </r>
    <r>
      <rPr>
        <vertAlign val="superscript"/>
        <sz val="10.5"/>
        <color theme="1"/>
        <rFont val="Cambria"/>
        <family val="1"/>
      </rPr>
      <t>c</t>
    </r>
    <phoneticPr fontId="4" type="noConversion"/>
  </si>
  <si>
    <r>
      <t>*</t>
    </r>
    <r>
      <rPr>
        <i/>
        <sz val="9"/>
        <color rgb="FF000000"/>
        <rFont val="Palatino Linotype"/>
        <family val="1"/>
      </rPr>
      <t xml:space="preserve">p&lt;0.1, </t>
    </r>
    <r>
      <rPr>
        <i/>
        <vertAlign val="superscript"/>
        <sz val="9"/>
        <color rgb="FF000000"/>
        <rFont val="Palatino Linotype"/>
        <family val="1"/>
      </rPr>
      <t>**</t>
    </r>
    <r>
      <rPr>
        <i/>
        <sz val="9"/>
        <color rgb="FF000000"/>
        <rFont val="Palatino Linotype"/>
        <family val="1"/>
      </rPr>
      <t xml:space="preserve">p&gt;0.05, </t>
    </r>
    <r>
      <rPr>
        <i/>
        <vertAlign val="superscript"/>
        <sz val="9"/>
        <color rgb="FF000000"/>
        <rFont val="Palatino Linotype"/>
        <family val="1"/>
      </rPr>
      <t>***</t>
    </r>
    <r>
      <rPr>
        <i/>
        <sz val="9"/>
        <color rgb="FF000000"/>
        <rFont val="Palatino Linotype"/>
        <family val="1"/>
      </rPr>
      <t>p&gt;0.001</t>
    </r>
    <phoneticPr fontId="4" type="noConversion"/>
  </si>
  <si>
    <t>NSAIDs(Nonsteroidal anti-inflammatory drugs)</t>
    <phoneticPr fontId="4" type="noConversion"/>
  </si>
  <si>
    <t>Sex</t>
    <phoneticPr fontId="4" type="noConversion"/>
  </si>
  <si>
    <r>
      <rPr>
        <i/>
        <sz val="10.5"/>
        <color theme="1"/>
        <rFont val="바탕"/>
        <family val="1"/>
        <charset val="129"/>
      </rPr>
      <t>≥</t>
    </r>
    <r>
      <rPr>
        <i/>
        <sz val="10.5"/>
        <color theme="1"/>
        <rFont val="Palatino Linotype"/>
        <family val="1"/>
      </rPr>
      <t>65</t>
    </r>
  </si>
  <si>
    <r>
      <t>95% CI</t>
    </r>
    <r>
      <rPr>
        <vertAlign val="superscript"/>
        <sz val="10.5"/>
        <color theme="1"/>
        <rFont val="Palatino Linotype"/>
        <family val="1"/>
      </rPr>
      <t>b</t>
    </r>
    <phoneticPr fontId="4" type="noConversion"/>
  </si>
  <si>
    <t>[0.850-1.140]</t>
    <phoneticPr fontId="4" type="noConversion"/>
  </si>
  <si>
    <t>[0.763-0.996]</t>
    <phoneticPr fontId="4" type="noConversion"/>
  </si>
  <si>
    <r>
      <rPr>
        <i/>
        <sz val="10.5"/>
        <color theme="1"/>
        <rFont val="바탕"/>
        <family val="1"/>
        <charset val="129"/>
      </rPr>
      <t>≥</t>
    </r>
    <r>
      <rPr>
        <i/>
        <sz val="10.5"/>
        <color theme="1"/>
        <rFont val="Palatino Linotype"/>
        <family val="1"/>
      </rPr>
      <t>3</t>
    </r>
    <phoneticPr fontId="4" type="noConversion"/>
  </si>
  <si>
    <r>
      <t>a</t>
    </r>
    <r>
      <rPr>
        <i/>
        <sz val="9"/>
        <color rgb="FF000000"/>
        <rFont val="Palatino Linotype"/>
        <family val="1"/>
      </rPr>
      <t xml:space="preserve">Day: Total number of prescription days, </t>
    </r>
    <r>
      <rPr>
        <i/>
        <vertAlign val="superscript"/>
        <sz val="9"/>
        <color rgb="FF000000"/>
        <rFont val="Palatino Linotype"/>
        <family val="1"/>
      </rPr>
      <t>b</t>
    </r>
    <r>
      <rPr>
        <i/>
        <sz val="9"/>
        <color rgb="FF000000"/>
        <rFont val="Palatino Linotype"/>
        <family val="1"/>
      </rPr>
      <t xml:space="preserve">Mean: Average number of prescription days per case </t>
    </r>
  </si>
  <si>
    <r>
      <t>c</t>
    </r>
    <r>
      <rPr>
        <i/>
        <sz val="9"/>
        <color rgb="FF000000"/>
        <rFont val="Palatino Linotype"/>
        <family val="1"/>
      </rPr>
      <t xml:space="preserve">SD: Standard Deviation </t>
    </r>
    <r>
      <rPr>
        <i/>
        <vertAlign val="superscript"/>
        <sz val="9"/>
        <color rgb="FF000000"/>
        <rFont val="Palatino Linotype"/>
        <family val="1"/>
      </rPr>
      <t>d</t>
    </r>
    <r>
      <rPr>
        <i/>
        <sz val="9"/>
        <color rgb="FF000000"/>
        <rFont val="Palatino Linotype"/>
        <family val="1"/>
      </rPr>
      <t>NSAID: Nonsteroidal anti-inflammatory drug</t>
    </r>
  </si>
  <si>
    <t>Non-opioid</t>
    <phoneticPr fontId="4" type="noConversion"/>
  </si>
  <si>
    <t>analgesics</t>
    <phoneticPr fontId="4" type="noConversion"/>
  </si>
  <si>
    <t>and</t>
    <phoneticPr fontId="4" type="noConversion"/>
  </si>
  <si>
    <r>
      <t>NSAIDs</t>
    </r>
    <r>
      <rPr>
        <vertAlign val="superscript"/>
        <sz val="10.5"/>
        <color theme="1"/>
        <rFont val="Palatino Linotype"/>
        <family val="1"/>
      </rPr>
      <t>d</t>
    </r>
    <phoneticPr fontId="4" type="noConversion"/>
  </si>
  <si>
    <r>
      <t>Mean</t>
    </r>
    <r>
      <rPr>
        <vertAlign val="superscript"/>
        <sz val="10.5"/>
        <color theme="1"/>
        <rFont val="Palatino Linotype"/>
        <family val="1"/>
      </rPr>
      <t>b</t>
    </r>
    <phoneticPr fontId="4" type="noConversion"/>
  </si>
  <si>
    <r>
      <t>SD</t>
    </r>
    <r>
      <rPr>
        <vertAlign val="superscript"/>
        <sz val="10.5"/>
        <color theme="1"/>
        <rFont val="Palatino Linotype"/>
        <family val="1"/>
      </rPr>
      <t>c</t>
    </r>
    <phoneticPr fontId="4" type="noConversion"/>
  </si>
  <si>
    <t>1) PHQ-9 관련 설문 응답 결측</t>
  </si>
  <si>
    <t>2) 안정시 심박수 결측 또는 비정상 범위</t>
  </si>
  <si>
    <t>우울 증상군 정의</t>
  </si>
  <si>
    <t>총 대상 환자</t>
  </si>
  <si>
    <t>6) 협심증 환자</t>
  </si>
  <si>
    <t>3) 고혈압 환자</t>
  </si>
  <si>
    <t>4)뇌졸증 환자</t>
  </si>
  <si>
    <t>5) 심근경색증 환자</t>
  </si>
  <si>
    <t>우울증 환자 수</t>
  </si>
  <si>
    <t>정의 기준</t>
  </si>
  <si>
    <t>제거 환자수</t>
  </si>
  <si>
    <t>총 환자 수</t>
  </si>
  <si>
    <t>제외 기준</t>
  </si>
  <si>
    <t>우울증 환자 비율 (%)</t>
  </si>
  <si>
    <t>PHQ-9 조사에 참여한사람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</si>
</sst>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_-;\-* #,##0_-;_-* &quot;-&quot;_-;_-@_-"/>
    <numFmt numFmtId="165" formatCode="0.0%"/>
    <numFmt numFmtId="166" formatCode="#,##0.000;[Red]#,##0.000"/>
    <numFmt numFmtId="167" formatCode="#,##0.000"/>
    <numFmt numFmtId="168" formatCode="0.000_);[Red]\(0.000\)"/>
    <numFmt numFmtId="169" formatCode="0.0"/>
    <numFmt numFmtId="170" formatCode="0.0_);[Red]\(0.0\)"/>
    <numFmt numFmtId="171" formatCode="000\-000"/>
    <numFmt numFmtId="172" formatCode="#,##0.0"/>
    <numFmt numFmtId="173" formatCode="0.000"/>
    <numFmt numFmtId="174" formatCode="0.0_ "/>
  </numFmts>
  <fonts count="12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mbria"/>
      <family val="1"/>
    </font>
    <font>
      <sz val="8"/>
      <name val="Calibri"/>
      <family val="2"/>
      <charset val="129"/>
      <scheme val="minor"/>
    </font>
    <font>
      <sz val="11"/>
      <color rgb="FF000000"/>
      <name val="Cambria"/>
      <family val="1"/>
    </font>
    <font>
      <sz val="11"/>
      <color rgb="FFFF0000"/>
      <name val="맑은 고딕"/>
      <family val="3"/>
      <charset val="129"/>
    </font>
    <font>
      <sz val="11"/>
      <color rgb="FFFF0000"/>
      <name val="Cambria"/>
      <family val="1"/>
    </font>
    <font>
      <sz val="11"/>
      <color rgb="FFFF0000"/>
      <name val="맑은 고딕"/>
      <family val="1"/>
      <charset val="129"/>
    </font>
    <font>
      <sz val="11"/>
      <color rgb="FF000000"/>
      <name val="맑은 고딕"/>
      <family val="3"/>
      <charset val="129"/>
    </font>
    <font>
      <i/>
      <sz val="11"/>
      <color rgb="FF000000"/>
      <name val="Cambria"/>
      <family val="1"/>
    </font>
    <font>
      <sz val="11"/>
      <color theme="1"/>
      <name val="맑은 고딕"/>
      <family val="3"/>
      <charset val="129"/>
    </font>
    <font>
      <sz val="11"/>
      <name val="Cambria"/>
      <family val="1"/>
    </font>
    <font>
      <b/>
      <sz val="11"/>
      <color rgb="FFFF0000"/>
      <name val="Cambria"/>
      <family val="1"/>
    </font>
    <font>
      <sz val="10.5"/>
      <name val="Cambria"/>
      <family val="1"/>
    </font>
    <font>
      <sz val="10.5"/>
      <color theme="1"/>
      <name val="Calibri"/>
      <family val="2"/>
      <charset val="129"/>
      <scheme val="minor"/>
    </font>
    <font>
      <sz val="10.5"/>
      <color theme="1"/>
      <name val="Cambria"/>
      <family val="1"/>
    </font>
    <font>
      <vertAlign val="superscript"/>
      <sz val="10.5"/>
      <name val="Cambria"/>
      <family val="1"/>
    </font>
    <font>
      <i/>
      <sz val="10.5"/>
      <name val="Cambria"/>
      <family val="1"/>
    </font>
    <font>
      <i/>
      <sz val="10.5"/>
      <color rgb="FFFF0000"/>
      <name val="Cambria"/>
      <family val="1"/>
    </font>
    <font>
      <sz val="10.5"/>
      <color rgb="FFFF0000"/>
      <name val="Cambria"/>
      <family val="1"/>
    </font>
    <font>
      <i/>
      <sz val="9"/>
      <color theme="1"/>
      <name val="Cambria"/>
      <family val="1"/>
    </font>
    <font>
      <i/>
      <sz val="9"/>
      <name val="Cambria"/>
      <family val="1"/>
    </font>
    <font>
      <sz val="9"/>
      <color theme="1"/>
      <name val="Cambria"/>
      <family val="1"/>
    </font>
    <font>
      <i/>
      <sz val="9"/>
      <name val="바탕"/>
      <family val="1"/>
      <charset val="129"/>
    </font>
    <font>
      <sz val="11"/>
      <color theme="1"/>
      <name val="바탕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0000"/>
      <name val="Cambria"/>
      <family val="3"/>
      <charset val="129"/>
    </font>
    <font>
      <sz val="11"/>
      <color rgb="FFFF0000"/>
      <name val="Cambria"/>
      <family val="3"/>
      <charset val="129"/>
    </font>
    <font>
      <sz val="11"/>
      <color rgb="FFFF0000"/>
      <name val="Arial Unicode MS"/>
      <family val="1"/>
      <charset val="129"/>
    </font>
    <font>
      <vertAlign val="superscript"/>
      <sz val="10.5"/>
      <color theme="1"/>
      <name val="Cambria"/>
      <family val="1"/>
    </font>
    <font>
      <i/>
      <sz val="10.5"/>
      <color theme="1"/>
      <name val="Cambria"/>
      <family val="1"/>
    </font>
    <font>
      <sz val="10.5"/>
      <color theme="1"/>
      <name val="Calibri"/>
      <family val="3"/>
      <charset val="129"/>
      <scheme val="minor"/>
    </font>
    <font>
      <sz val="10.5"/>
      <color rgb="FF000000"/>
      <name val="Cambria"/>
      <family val="1"/>
    </font>
    <font>
      <sz val="10.5"/>
      <color rgb="FFFF0000"/>
      <name val="Calibri"/>
      <family val="3"/>
      <charset val="129"/>
      <scheme val="minor"/>
    </font>
    <font>
      <i/>
      <sz val="10.5"/>
      <color rgb="FF000000"/>
      <name val="Cambria"/>
      <family val="1"/>
    </font>
    <font>
      <i/>
      <sz val="10.5"/>
      <name val="바탕"/>
      <family val="1"/>
      <charset val="129"/>
    </font>
    <font>
      <i/>
      <sz val="10.5"/>
      <color rgb="FF000000"/>
      <name val="바탕"/>
      <family val="1"/>
      <charset val="129"/>
    </font>
    <font>
      <i/>
      <sz val="10.5"/>
      <color theme="1"/>
      <name val="바탕"/>
      <family val="1"/>
      <charset val="129"/>
    </font>
    <font>
      <i/>
      <sz val="9"/>
      <color rgb="FF000000"/>
      <name val="Cambria"/>
      <family val="1"/>
    </font>
    <font>
      <i/>
      <vertAlign val="superscript"/>
      <sz val="9"/>
      <color rgb="FF000000"/>
      <name val="Cambria"/>
      <family val="1"/>
    </font>
    <font>
      <i/>
      <sz val="9"/>
      <color rgb="FFFF0000"/>
      <name val="Calibri"/>
      <family val="3"/>
      <charset val="129"/>
      <scheme val="minor"/>
    </font>
    <font>
      <i/>
      <sz val="10.5"/>
      <color rgb="FFFF0000"/>
      <name val="Calibri"/>
      <family val="3"/>
      <charset val="129"/>
      <scheme val="minor"/>
    </font>
    <font>
      <sz val="10.5"/>
      <color rgb="FF000000"/>
      <name val="Arial Unicode MS"/>
      <family val="1"/>
      <charset val="129"/>
    </font>
    <font>
      <i/>
      <sz val="10.5"/>
      <color theme="1"/>
      <name val="Arial Unicode MS"/>
      <family val="1"/>
      <charset val="129"/>
    </font>
    <font>
      <sz val="11"/>
      <color rgb="FFFF0000"/>
      <name val="camb"/>
      <family val="1"/>
    </font>
    <font>
      <b/>
      <sz val="16"/>
      <color theme="1"/>
      <name val="Cambria"/>
      <family val="1"/>
    </font>
    <font>
      <b/>
      <sz val="16"/>
      <color theme="1"/>
      <name val="바탕"/>
      <family val="1"/>
      <charset val="129"/>
    </font>
    <font>
      <vertAlign val="superscript"/>
      <sz val="11"/>
      <name val="바탕"/>
      <family val="1"/>
      <charset val="129"/>
    </font>
    <font>
      <sz val="10.5"/>
      <color rgb="FFFF0000"/>
      <name val="맑은 고딕"/>
      <family val="3"/>
      <charset val="129"/>
    </font>
    <font>
      <sz val="11"/>
      <color rgb="FFFF0000"/>
      <name val="Calibri"/>
      <family val="2"/>
      <charset val="129"/>
      <scheme val="minor"/>
    </font>
    <font>
      <sz val="10.5"/>
      <name val="Calibri"/>
      <family val="2"/>
      <charset val="129"/>
      <scheme val="minor"/>
    </font>
    <font>
      <i/>
      <vertAlign val="superscript"/>
      <sz val="9"/>
      <name val="Cambria"/>
      <family val="1"/>
    </font>
    <font>
      <b/>
      <sz val="10.5"/>
      <color rgb="FFFF0000"/>
      <name val="Cambria"/>
      <family val="1"/>
    </font>
    <font>
      <b/>
      <sz val="10.5"/>
      <color rgb="FFFF0000"/>
      <name val="바탕"/>
      <family val="1"/>
      <charset val="129"/>
    </font>
    <font>
      <sz val="11"/>
      <color theme="1"/>
      <name val="Calibri"/>
      <family val="2"/>
    </font>
    <font>
      <sz val="10.5"/>
      <color rgb="FF000000"/>
      <name val="맑은 고딕"/>
      <family val="3"/>
      <charset val="129"/>
    </font>
    <font>
      <b/>
      <sz val="11"/>
      <color rgb="FFFF0000"/>
      <name val="cambri"/>
    </font>
    <font>
      <b/>
      <sz val="11"/>
      <color rgb="FFFF0000"/>
      <name val="Arial Unicode MS"/>
      <family val="1"/>
      <charset val="129"/>
    </font>
    <font>
      <b/>
      <sz val="11"/>
      <color rgb="FFFF0000"/>
      <name val="cambri"/>
      <family val="1"/>
    </font>
    <font>
      <b/>
      <sz val="10.5"/>
      <color rgb="FFFF0000"/>
      <name val="Arial Unicode MS"/>
      <family val="1"/>
      <charset val="129"/>
    </font>
    <font>
      <b/>
      <sz val="10.5"/>
      <color rgb="FFFF0000"/>
      <name val="맑은 고딕"/>
      <family val="1"/>
      <charset val="129"/>
    </font>
    <font>
      <sz val="10.5"/>
      <color theme="1"/>
      <name val="Palatino Linotype"/>
      <family val="1"/>
    </font>
    <font>
      <i/>
      <sz val="10.5"/>
      <name val="Palatino Linotype"/>
      <family val="1"/>
    </font>
    <font>
      <sz val="10.5"/>
      <name val="Palatino Linotype"/>
      <family val="1"/>
    </font>
    <font>
      <sz val="10.5"/>
      <color rgb="FFFF0000"/>
      <name val="Palatino Linotype"/>
      <family val="1"/>
    </font>
    <font>
      <b/>
      <sz val="11"/>
      <color theme="1"/>
      <name val="Calibri"/>
      <family val="3"/>
      <charset val="129"/>
      <scheme val="minor"/>
    </font>
    <font>
      <b/>
      <sz val="10.5"/>
      <color theme="1"/>
      <name val="Cambria"/>
      <family val="1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color theme="1"/>
      <name val="바탕"/>
      <family val="1"/>
      <charset val="129"/>
    </font>
    <font>
      <sz val="10"/>
      <name val="Cambria"/>
      <family val="1"/>
    </font>
    <font>
      <sz val="10"/>
      <name val="Calibri"/>
      <family val="3"/>
      <charset val="129"/>
      <scheme val="minor"/>
    </font>
    <font>
      <sz val="10"/>
      <color rgb="FFFF0000"/>
      <name val="Calibri"/>
      <family val="3"/>
      <charset val="129"/>
      <scheme val="minor"/>
    </font>
    <font>
      <i/>
      <sz val="10"/>
      <color theme="1"/>
      <name val="Calibri"/>
      <family val="2"/>
      <charset val="129"/>
      <scheme val="minor"/>
    </font>
    <font>
      <sz val="10"/>
      <color rgb="FF000000"/>
      <name val="Cambria"/>
      <family val="1"/>
    </font>
    <font>
      <sz val="11"/>
      <color rgb="FF0000CC"/>
      <name val="Calibri"/>
      <family val="2"/>
      <charset val="129"/>
      <scheme val="minor"/>
    </font>
    <font>
      <sz val="9"/>
      <color theme="1"/>
      <name val="Calibri"/>
      <family val="2"/>
      <charset val="129"/>
      <scheme val="minor"/>
    </font>
    <font>
      <vertAlign val="superscript"/>
      <sz val="10.5"/>
      <name val="Palatino Linotype"/>
      <family val="1"/>
    </font>
    <font>
      <i/>
      <vertAlign val="superscript"/>
      <sz val="10.5"/>
      <name val="Palatino Linotype"/>
      <family val="1"/>
    </font>
    <font>
      <sz val="10.5"/>
      <name val="Calibri"/>
      <family val="3"/>
      <charset val="129"/>
      <scheme val="minor"/>
    </font>
    <font>
      <sz val="10.5"/>
      <color rgb="FFFF0000"/>
      <name val="Arial Unicode MS"/>
      <family val="1"/>
      <charset val="129"/>
    </font>
    <font>
      <i/>
      <vertAlign val="superscript"/>
      <sz val="9"/>
      <color theme="1"/>
      <name val="Cambria"/>
      <family val="1"/>
    </font>
    <font>
      <sz val="10.5"/>
      <color rgb="FF000000"/>
      <name val="Palatino Linotype"/>
      <family val="1"/>
    </font>
    <font>
      <vertAlign val="superscript"/>
      <sz val="10.5"/>
      <color rgb="FF000000"/>
      <name val="Palatino Linotype"/>
      <family val="1"/>
    </font>
    <font>
      <i/>
      <sz val="10.5"/>
      <color rgb="FF000000"/>
      <name val="Palatino Linotype"/>
      <family val="1"/>
    </font>
    <font>
      <i/>
      <sz val="10.5"/>
      <color rgb="FF000000"/>
      <name val="맑은 고딕"/>
      <family val="3"/>
      <charset val="129"/>
    </font>
    <font>
      <i/>
      <vertAlign val="superscript"/>
      <sz val="9"/>
      <color rgb="FF000000"/>
      <name val="Palatino Linotype"/>
      <family val="1"/>
    </font>
    <font>
      <i/>
      <sz val="9"/>
      <color rgb="FF000000"/>
      <name val="Palatino Linotype"/>
      <family val="1"/>
    </font>
    <font>
      <sz val="10"/>
      <color theme="1"/>
      <name val="Times New Roman"/>
      <family val="1"/>
    </font>
    <font>
      <vertAlign val="superscript"/>
      <sz val="10.5"/>
      <color theme="1"/>
      <name val="Palatino Linotype"/>
      <family val="1"/>
    </font>
    <font>
      <i/>
      <sz val="10.5"/>
      <color theme="1"/>
      <name val="Palatino Linotype"/>
      <family val="1"/>
    </font>
    <font>
      <sz val="11"/>
      <color theme="1"/>
      <name val="Palatino Linotype"/>
      <family val="1"/>
    </font>
    <font>
      <i/>
      <sz val="10.5"/>
      <color rgb="FFFF0000"/>
      <name val="Palatino Linotype"/>
      <family val="1"/>
    </font>
    <font>
      <sz val="11"/>
      <color rgb="FFFF0000"/>
      <name val="Palatino Linotype"/>
      <family val="1"/>
    </font>
    <font>
      <sz val="9"/>
      <color rgb="FF000000"/>
      <name val="Palatino Linotype"/>
      <family val="1"/>
    </font>
    <font>
      <vertAlign val="superscript"/>
      <sz val="9"/>
      <color rgb="FF000000"/>
      <name val="Palatino Linotype"/>
      <family val="1"/>
    </font>
    <font>
      <sz val="10.5"/>
      <color theme="1"/>
      <name val="맑은 고딕"/>
      <family val="3"/>
      <charset val="129"/>
    </font>
    <font>
      <i/>
      <sz val="10.5"/>
      <color theme="1"/>
      <name val="맑은 고딕"/>
      <family val="3"/>
      <charset val="129"/>
    </font>
    <font>
      <i/>
      <vertAlign val="superscript"/>
      <sz val="9"/>
      <color theme="1"/>
      <name val="Palatino Linotype"/>
      <family val="1"/>
    </font>
    <font>
      <i/>
      <sz val="9"/>
      <color theme="1"/>
      <name val="Palatino Linotype"/>
      <family val="1"/>
    </font>
    <font>
      <i/>
      <sz val="9"/>
      <color theme="1"/>
      <name val="바탕"/>
      <family val="1"/>
      <charset val="129"/>
    </font>
    <font>
      <b/>
      <sz val="11"/>
      <color rgb="FFFF0000"/>
      <name val="Palatino Linotype"/>
      <family val="1"/>
    </font>
    <font>
      <b/>
      <sz val="10.5"/>
      <color rgb="FFFF0000"/>
      <name val="Palatino Linotype"/>
      <family val="1"/>
    </font>
    <font>
      <sz val="11"/>
      <name val="Palatino Linotype"/>
      <family val="1"/>
    </font>
    <font>
      <sz val="9"/>
      <color theme="1"/>
      <name val="Palatino Linotype"/>
      <family val="1"/>
    </font>
    <font>
      <i/>
      <sz val="9"/>
      <name val="Palatino Linotype"/>
      <family val="1"/>
    </font>
    <font>
      <i/>
      <vertAlign val="superscript"/>
      <sz val="9"/>
      <name val="Palatino Linotype"/>
      <family val="1"/>
    </font>
    <font>
      <sz val="9"/>
      <color theme="1"/>
      <name val="Calibri"/>
      <family val="2"/>
    </font>
    <font>
      <sz val="10.5"/>
      <color theme="1"/>
      <name val="Calibri"/>
      <family val="2"/>
    </font>
    <font>
      <i/>
      <sz val="10"/>
      <color theme="1"/>
      <name val="Times New Roman"/>
      <family val="1"/>
    </font>
    <font>
      <i/>
      <sz val="11"/>
      <color theme="1"/>
      <name val="Calibri"/>
      <family val="2"/>
      <charset val="129"/>
      <scheme val="minor"/>
    </font>
    <font>
      <i/>
      <sz val="9"/>
      <color theme="1"/>
      <name val="Calibri"/>
      <family val="2"/>
      <charset val="129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theme="1"/>
      </top>
      <bottom style="double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auto="1"/>
      </top>
      <bottom/>
      <diagonal/>
    </border>
    <border>
      <left/>
      <right style="dotted">
        <color indexed="64"/>
      </right>
      <top/>
      <bottom style="double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dotted">
        <color indexed="64"/>
      </left>
      <right/>
      <top style="thin">
        <color auto="1"/>
      </top>
      <bottom/>
      <diagonal/>
    </border>
    <border>
      <left style="dotted">
        <color indexed="64"/>
      </left>
      <right/>
      <top/>
      <bottom style="double">
        <color auto="1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double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</cellStyleXfs>
  <cellXfs count="58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0" fillId="0" borderId="9" xfId="0" applyFont="1" applyBorder="1" applyAlignment="1">
      <alignment horizontal="right" vertical="center"/>
    </xf>
    <xf numFmtId="165" fontId="3" fillId="0" borderId="9" xfId="1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5" fontId="3" fillId="0" borderId="11" xfId="1" applyNumberFormat="1" applyFont="1" applyBorder="1" applyAlignment="1">
      <alignment horizontal="right" vertical="center"/>
    </xf>
    <xf numFmtId="0" fontId="13" fillId="0" borderId="0" xfId="0" applyFont="1">
      <alignment vertical="center"/>
    </xf>
    <xf numFmtId="165" fontId="13" fillId="0" borderId="0" xfId="0" applyNumberFormat="1" applyFont="1">
      <alignment vertical="center"/>
    </xf>
    <xf numFmtId="0" fontId="16" fillId="0" borderId="0" xfId="0" applyFont="1">
      <alignment vertical="center"/>
    </xf>
    <xf numFmtId="0" fontId="14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4" fillId="0" borderId="13" xfId="0" applyFont="1" applyBorder="1">
      <alignment vertical="center"/>
    </xf>
    <xf numFmtId="0" fontId="14" fillId="0" borderId="13" xfId="0" applyFont="1" applyBorder="1" applyAlignment="1">
      <alignment horizontal="center" vertical="center"/>
    </xf>
    <xf numFmtId="166" fontId="14" fillId="0" borderId="13" xfId="0" applyNumberFormat="1" applyFont="1" applyBorder="1">
      <alignment vertical="center"/>
    </xf>
    <xf numFmtId="167" fontId="14" fillId="0" borderId="13" xfId="0" applyNumberFormat="1" applyFont="1" applyBorder="1">
      <alignment vertical="center"/>
    </xf>
    <xf numFmtId="0" fontId="18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167" fontId="14" fillId="0" borderId="0" xfId="0" applyNumberFormat="1" applyFont="1">
      <alignment vertical="center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171" fontId="22" fillId="0" borderId="0" xfId="0" applyNumberFormat="1" applyFont="1" applyAlignment="1">
      <alignment horizontal="left" vertical="center"/>
    </xf>
    <xf numFmtId="171" fontId="22" fillId="0" borderId="0" xfId="0" applyNumberFormat="1" applyFont="1" applyAlignment="1">
      <alignment horizontal="center"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6" fillId="0" borderId="14" xfId="0" applyFont="1" applyBorder="1">
      <alignment vertical="center"/>
    </xf>
    <xf numFmtId="0" fontId="10" fillId="4" borderId="9" xfId="0" applyFont="1" applyFill="1" applyBorder="1" applyAlignment="1">
      <alignment horizontal="right" vertical="center"/>
    </xf>
    <xf numFmtId="0" fontId="3" fillId="4" borderId="0" xfId="0" applyFont="1" applyFill="1">
      <alignment vertical="center"/>
    </xf>
    <xf numFmtId="165" fontId="3" fillId="4" borderId="9" xfId="1" applyNumberFormat="1" applyFont="1" applyFill="1" applyBorder="1" applyAlignment="1">
      <alignment horizontal="right" vertical="center"/>
    </xf>
    <xf numFmtId="0" fontId="10" fillId="4" borderId="1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65" fontId="3" fillId="4" borderId="11" xfId="1" applyNumberFormat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3" fillId="4" borderId="10" xfId="0" applyFont="1" applyFill="1" applyBorder="1" applyAlignment="1">
      <alignment horizontal="right"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0" fillId="6" borderId="0" xfId="0" applyFill="1">
      <alignment vertical="center"/>
    </xf>
    <xf numFmtId="0" fontId="15" fillId="0" borderId="0" xfId="0" applyFont="1">
      <alignment vertical="center"/>
    </xf>
    <xf numFmtId="0" fontId="31" fillId="0" borderId="12" xfId="0" applyFont="1" applyBorder="1">
      <alignment vertical="center"/>
    </xf>
    <xf numFmtId="0" fontId="32" fillId="0" borderId="12" xfId="0" applyFont="1" applyBorder="1">
      <alignment vertical="center"/>
    </xf>
    <xf numFmtId="0" fontId="34" fillId="0" borderId="0" xfId="0" applyFont="1">
      <alignment vertical="center"/>
    </xf>
    <xf numFmtId="0" fontId="31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1" fillId="0" borderId="8" xfId="0" applyFont="1" applyBorder="1">
      <alignment vertical="center"/>
    </xf>
    <xf numFmtId="0" fontId="33" fillId="0" borderId="8" xfId="0" applyFont="1" applyBorder="1" applyAlignment="1">
      <alignment horizontal="center" vertical="center"/>
    </xf>
    <xf numFmtId="3" fontId="33" fillId="0" borderId="8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3" fontId="33" fillId="0" borderId="0" xfId="0" applyNumberFormat="1" applyFont="1" applyAlignment="1">
      <alignment horizontal="right" vertical="center"/>
    </xf>
    <xf numFmtId="3" fontId="16" fillId="0" borderId="0" xfId="0" applyNumberFormat="1" applyFont="1">
      <alignment vertical="center"/>
    </xf>
    <xf numFmtId="0" fontId="19" fillId="0" borderId="0" xfId="0" applyFont="1">
      <alignment vertical="center"/>
    </xf>
    <xf numFmtId="0" fontId="14" fillId="0" borderId="0" xfId="0" applyFont="1" applyAlignment="1">
      <alignment horizontal="justify" vertical="center"/>
    </xf>
    <xf numFmtId="0" fontId="14" fillId="0" borderId="16" xfId="0" applyFont="1" applyBorder="1" applyAlignment="1">
      <alignment horizontal="justify" vertical="center"/>
    </xf>
    <xf numFmtId="0" fontId="18" fillId="0" borderId="16" xfId="0" applyFont="1" applyBorder="1" applyAlignment="1">
      <alignment horizontal="right" vertical="center"/>
    </xf>
    <xf numFmtId="3" fontId="33" fillId="0" borderId="16" xfId="0" applyNumberFormat="1" applyFont="1" applyBorder="1" applyAlignment="1">
      <alignment horizontal="right" vertical="center"/>
    </xf>
    <xf numFmtId="172" fontId="16" fillId="0" borderId="0" xfId="0" applyNumberFormat="1" applyFont="1">
      <alignment vertical="center"/>
    </xf>
    <xf numFmtId="0" fontId="35" fillId="0" borderId="16" xfId="0" applyFont="1" applyBorder="1" applyAlignment="1">
      <alignment horizontal="right" vertical="center"/>
    </xf>
    <xf numFmtId="0" fontId="33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16" fillId="0" borderId="15" xfId="0" applyFont="1" applyBorder="1">
      <alignment vertical="center"/>
    </xf>
    <xf numFmtId="0" fontId="31" fillId="0" borderId="16" xfId="0" applyFont="1" applyBorder="1">
      <alignment vertical="center"/>
    </xf>
    <xf numFmtId="0" fontId="16" fillId="0" borderId="16" xfId="0" applyFont="1" applyBorder="1">
      <alignment vertical="center"/>
    </xf>
    <xf numFmtId="0" fontId="31" fillId="0" borderId="16" xfId="0" applyFont="1" applyBorder="1" applyAlignment="1">
      <alignment horizontal="right" vertical="center"/>
    </xf>
    <xf numFmtId="0" fontId="31" fillId="0" borderId="14" xfId="0" applyFont="1" applyBorder="1">
      <alignment vertical="center"/>
    </xf>
    <xf numFmtId="0" fontId="31" fillId="0" borderId="14" xfId="0" applyFont="1" applyBorder="1" applyAlignment="1">
      <alignment horizontal="right" vertical="center"/>
    </xf>
    <xf numFmtId="3" fontId="33" fillId="0" borderId="14" xfId="0" applyNumberFormat="1" applyFont="1" applyBorder="1" applyAlignment="1">
      <alignment horizontal="right" vertical="center"/>
    </xf>
    <xf numFmtId="0" fontId="35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9" fillId="0" borderId="12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41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42" fillId="0" borderId="0" xfId="0" applyFont="1">
      <alignment vertical="center"/>
    </xf>
    <xf numFmtId="172" fontId="33" fillId="0" borderId="0" xfId="0" applyNumberFormat="1" applyFont="1" applyAlignment="1">
      <alignment horizontal="right" vertical="center"/>
    </xf>
    <xf numFmtId="3" fontId="20" fillId="0" borderId="0" xfId="0" applyNumberFormat="1" applyFont="1" applyAlignment="1">
      <alignment horizontal="right" vertical="center"/>
    </xf>
    <xf numFmtId="172" fontId="20" fillId="0" borderId="0" xfId="0" applyNumberFormat="1" applyFont="1" applyAlignment="1">
      <alignment horizontal="right" vertical="center"/>
    </xf>
    <xf numFmtId="0" fontId="35" fillId="0" borderId="15" xfId="0" applyFont="1" applyBorder="1" applyAlignment="1">
      <alignment horizontal="right" vertical="center"/>
    </xf>
    <xf numFmtId="3" fontId="33" fillId="0" borderId="15" xfId="0" applyNumberFormat="1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8" fillId="0" borderId="14" xfId="0" applyFont="1" applyBorder="1" applyAlignment="1">
      <alignment horizontal="left" vertical="center"/>
    </xf>
    <xf numFmtId="168" fontId="14" fillId="0" borderId="0" xfId="0" applyNumberFormat="1" applyFont="1">
      <alignment vertical="center"/>
    </xf>
    <xf numFmtId="167" fontId="14" fillId="0" borderId="14" xfId="0" applyNumberFormat="1" applyFont="1" applyBorder="1">
      <alignment vertical="center"/>
    </xf>
    <xf numFmtId="0" fontId="14" fillId="0" borderId="14" xfId="0" applyFont="1" applyBorder="1" applyAlignment="1">
      <alignment horizontal="center" vertical="center"/>
    </xf>
    <xf numFmtId="166" fontId="14" fillId="0" borderId="14" xfId="0" applyNumberFormat="1" applyFont="1" applyBorder="1">
      <alignment vertical="center"/>
    </xf>
    <xf numFmtId="168" fontId="14" fillId="0" borderId="14" xfId="0" applyNumberFormat="1" applyFont="1" applyBorder="1">
      <alignment vertical="center"/>
    </xf>
    <xf numFmtId="0" fontId="7" fillId="0" borderId="0" xfId="0" applyFont="1" applyAlignment="1">
      <alignment horizontal="center" vertical="center"/>
    </xf>
    <xf numFmtId="0" fontId="14" fillId="0" borderId="12" xfId="0" applyFont="1" applyBorder="1">
      <alignment vertical="center"/>
    </xf>
    <xf numFmtId="0" fontId="12" fillId="0" borderId="0" xfId="0" applyFo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3" fillId="8" borderId="0" xfId="0" applyFont="1" applyFill="1">
      <alignment vertical="center"/>
    </xf>
    <xf numFmtId="3" fontId="20" fillId="0" borderId="0" xfId="0" applyNumberFormat="1" applyFont="1">
      <alignment vertical="center"/>
    </xf>
    <xf numFmtId="169" fontId="16" fillId="0" borderId="0" xfId="0" applyNumberFormat="1" applyFont="1">
      <alignment vertical="center"/>
    </xf>
    <xf numFmtId="0" fontId="15" fillId="0" borderId="21" xfId="0" applyFont="1" applyBorder="1" applyAlignment="1">
      <alignment horizontal="center" vertical="center"/>
    </xf>
    <xf numFmtId="0" fontId="14" fillId="0" borderId="23" xfId="0" applyFont="1" applyBorder="1" applyAlignment="1">
      <alignment horizontal="right" vertical="center"/>
    </xf>
    <xf numFmtId="0" fontId="14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4" fillId="0" borderId="21" xfId="0" applyFont="1" applyBorder="1" applyAlignment="1">
      <alignment horizontal="right" vertical="center"/>
    </xf>
    <xf numFmtId="0" fontId="14" fillId="0" borderId="22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right" vertical="center"/>
    </xf>
    <xf numFmtId="170" fontId="14" fillId="0" borderId="0" xfId="1" applyNumberFormat="1" applyFont="1" applyBorder="1" applyAlignment="1">
      <alignment horizontal="right" vertical="center"/>
    </xf>
    <xf numFmtId="164" fontId="14" fillId="0" borderId="22" xfId="2" applyFont="1" applyFill="1" applyBorder="1" applyAlignment="1">
      <alignment horizontal="right" vertical="center"/>
    </xf>
    <xf numFmtId="0" fontId="14" fillId="0" borderId="14" xfId="0" applyFont="1" applyBorder="1" applyAlignment="1">
      <alignment horizontal="left" vertical="center"/>
    </xf>
    <xf numFmtId="0" fontId="18" fillId="0" borderId="26" xfId="0" applyFont="1" applyBorder="1" applyAlignment="1">
      <alignment horizontal="right" vertical="center"/>
    </xf>
    <xf numFmtId="170" fontId="14" fillId="0" borderId="14" xfId="1" applyNumberFormat="1" applyFont="1" applyBorder="1" applyAlignment="1">
      <alignment horizontal="right" vertical="center"/>
    </xf>
    <xf numFmtId="171" fontId="21" fillId="0" borderId="0" xfId="0" applyNumberFormat="1" applyFont="1" applyAlignment="1">
      <alignment horizontal="left" vertical="center"/>
    </xf>
    <xf numFmtId="171" fontId="21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3" fillId="3" borderId="0" xfId="0" applyFont="1" applyFill="1">
      <alignment vertical="center"/>
    </xf>
    <xf numFmtId="0" fontId="20" fillId="0" borderId="27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164" fontId="20" fillId="0" borderId="27" xfId="2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1" fillId="0" borderId="12" xfId="0" applyFont="1" applyBorder="1">
      <alignment vertical="center"/>
    </xf>
    <xf numFmtId="0" fontId="51" fillId="0" borderId="8" xfId="0" applyFont="1" applyBorder="1">
      <alignment vertical="center"/>
    </xf>
    <xf numFmtId="169" fontId="14" fillId="0" borderId="0" xfId="1" applyNumberFormat="1" applyFont="1" applyFill="1" applyBorder="1" applyAlignment="1">
      <alignment horizontal="right" vertical="center"/>
    </xf>
    <xf numFmtId="168" fontId="12" fillId="0" borderId="0" xfId="0" applyNumberFormat="1" applyFont="1">
      <alignment vertical="center"/>
    </xf>
    <xf numFmtId="164" fontId="14" fillId="0" borderId="0" xfId="2" applyFont="1" applyFill="1" applyBorder="1" applyAlignment="1">
      <alignment horizontal="right" vertical="center"/>
    </xf>
    <xf numFmtId="165" fontId="14" fillId="0" borderId="0" xfId="1" applyNumberFormat="1" applyFont="1" applyFill="1" applyBorder="1" applyAlignment="1">
      <alignment horizontal="right" vertical="center"/>
    </xf>
    <xf numFmtId="0" fontId="18" fillId="0" borderId="14" xfId="0" applyFont="1" applyBorder="1" applyAlignment="1">
      <alignment horizontal="right" vertical="center"/>
    </xf>
    <xf numFmtId="0" fontId="12" fillId="0" borderId="14" xfId="0" applyFont="1" applyBorder="1">
      <alignment vertical="center"/>
    </xf>
    <xf numFmtId="169" fontId="14" fillId="0" borderId="14" xfId="1" applyNumberFormat="1" applyFont="1" applyFill="1" applyBorder="1" applyAlignment="1">
      <alignment horizontal="right" vertical="center"/>
    </xf>
    <xf numFmtId="168" fontId="12" fillId="0" borderId="14" xfId="0" applyNumberFormat="1" applyFont="1" applyBorder="1">
      <alignment vertical="center"/>
    </xf>
    <xf numFmtId="0" fontId="16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53" fillId="0" borderId="0" xfId="0" applyFont="1">
      <alignment vertical="center"/>
    </xf>
    <xf numFmtId="0" fontId="33" fillId="9" borderId="0" xfId="0" applyFont="1" applyFill="1" applyAlignment="1">
      <alignment horizontal="right" vertical="center"/>
    </xf>
    <xf numFmtId="0" fontId="55" fillId="0" borderId="0" xfId="0" applyFont="1">
      <alignment vertical="center"/>
    </xf>
    <xf numFmtId="0" fontId="33" fillId="10" borderId="0" xfId="0" applyFont="1" applyFill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33" fillId="11" borderId="0" xfId="0" applyFont="1" applyFill="1" applyAlignment="1">
      <alignment horizontal="right" vertical="center"/>
    </xf>
    <xf numFmtId="0" fontId="56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left" vertical="center"/>
    </xf>
    <xf numFmtId="0" fontId="33" fillId="0" borderId="15" xfId="0" applyFont="1" applyBorder="1" applyAlignment="1">
      <alignment horizontal="right" vertical="center"/>
    </xf>
    <xf numFmtId="0" fontId="57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3" fillId="0" borderId="14" xfId="0" applyFont="1" applyBorder="1" applyAlignment="1">
      <alignment horizontal="right" vertical="center"/>
    </xf>
    <xf numFmtId="165" fontId="16" fillId="0" borderId="0" xfId="1" applyNumberFormat="1" applyFont="1">
      <alignment vertical="center"/>
    </xf>
    <xf numFmtId="165" fontId="21" fillId="0" borderId="0" xfId="1" applyNumberFormat="1" applyFont="1">
      <alignment vertical="center"/>
    </xf>
    <xf numFmtId="165" fontId="16" fillId="0" borderId="0" xfId="0" applyNumberFormat="1" applyFont="1">
      <alignment vertical="center"/>
    </xf>
    <xf numFmtId="165" fontId="31" fillId="0" borderId="0" xfId="1" applyNumberFormat="1" applyFont="1">
      <alignment vertical="center"/>
    </xf>
    <xf numFmtId="0" fontId="62" fillId="0" borderId="0" xfId="0" applyFont="1" applyAlignment="1">
      <alignment horizontal="left" vertical="center"/>
    </xf>
    <xf numFmtId="3" fontId="64" fillId="0" borderId="0" xfId="2" applyNumberFormat="1" applyFont="1" applyFill="1" applyBorder="1" applyAlignment="1">
      <alignment horizontal="right" vertical="center"/>
    </xf>
    <xf numFmtId="3" fontId="65" fillId="0" borderId="0" xfId="2" applyNumberFormat="1" applyFont="1" applyFill="1" applyBorder="1" applyAlignment="1">
      <alignment horizontal="right" vertical="center"/>
    </xf>
    <xf numFmtId="3" fontId="65" fillId="0" borderId="14" xfId="2" applyNumberFormat="1" applyFont="1" applyFill="1" applyBorder="1" applyAlignment="1">
      <alignment horizontal="right" vertical="center"/>
    </xf>
    <xf numFmtId="0" fontId="16" fillId="0" borderId="12" xfId="0" applyFont="1" applyBorder="1">
      <alignment vertical="center"/>
    </xf>
    <xf numFmtId="0" fontId="16" fillId="0" borderId="19" xfId="0" applyFont="1" applyBorder="1">
      <alignment vertical="center"/>
    </xf>
    <xf numFmtId="168" fontId="3" fillId="0" borderId="0" xfId="0" applyNumberFormat="1" applyFont="1">
      <alignment vertical="center"/>
    </xf>
    <xf numFmtId="168" fontId="3" fillId="0" borderId="21" xfId="0" applyNumberFormat="1" applyFont="1" applyBorder="1">
      <alignment vertical="center"/>
    </xf>
    <xf numFmtId="168" fontId="3" fillId="0" borderId="14" xfId="0" applyNumberFormat="1" applyFont="1" applyBorder="1">
      <alignment vertical="center"/>
    </xf>
    <xf numFmtId="0" fontId="3" fillId="0" borderId="14" xfId="0" applyFont="1" applyBorder="1">
      <alignment vertical="center"/>
    </xf>
    <xf numFmtId="168" fontId="3" fillId="0" borderId="26" xfId="0" applyNumberFormat="1" applyFont="1" applyBorder="1">
      <alignment vertical="center"/>
    </xf>
    <xf numFmtId="0" fontId="46" fillId="0" borderId="0" xfId="0" applyFont="1">
      <alignment vertical="center"/>
    </xf>
    <xf numFmtId="0" fontId="19" fillId="0" borderId="0" xfId="0" applyFont="1" applyAlignment="1">
      <alignment horizontal="right" vertical="center"/>
    </xf>
    <xf numFmtId="0" fontId="66" fillId="0" borderId="0" xfId="0" applyFont="1">
      <alignment vertical="center"/>
    </xf>
    <xf numFmtId="0" fontId="64" fillId="0" borderId="0" xfId="0" applyFont="1">
      <alignment vertical="center"/>
    </xf>
    <xf numFmtId="0" fontId="62" fillId="0" borderId="8" xfId="0" applyFont="1" applyBorder="1" applyAlignment="1">
      <alignment horizontal="center" vertical="center"/>
    </xf>
    <xf numFmtId="172" fontId="62" fillId="0" borderId="0" xfId="0" applyNumberFormat="1" applyFont="1" applyAlignment="1">
      <alignment horizontal="right" vertical="center"/>
    </xf>
    <xf numFmtId="3" fontId="64" fillId="0" borderId="0" xfId="0" applyNumberFormat="1" applyFont="1" applyAlignment="1">
      <alignment horizontal="right" vertical="center"/>
    </xf>
    <xf numFmtId="172" fontId="64" fillId="0" borderId="0" xfId="1" applyNumberFormat="1" applyFont="1" applyFill="1" applyBorder="1" applyAlignment="1">
      <alignment horizontal="right" vertical="center"/>
    </xf>
    <xf numFmtId="3" fontId="65" fillId="0" borderId="0" xfId="0" applyNumberFormat="1" applyFont="1" applyAlignment="1">
      <alignment horizontal="right" vertical="center"/>
    </xf>
    <xf numFmtId="3" fontId="65" fillId="0" borderId="14" xfId="0" applyNumberFormat="1" applyFont="1" applyBorder="1" applyAlignment="1">
      <alignment horizontal="right" vertical="center"/>
    </xf>
    <xf numFmtId="172" fontId="64" fillId="0" borderId="14" xfId="1" applyNumberFormat="1" applyFont="1" applyFill="1" applyBorder="1" applyAlignment="1">
      <alignment horizontal="right" vertical="center"/>
    </xf>
    <xf numFmtId="3" fontId="64" fillId="0" borderId="14" xfId="0" applyNumberFormat="1" applyFont="1" applyBorder="1" applyAlignment="1">
      <alignment horizontal="right" vertical="center"/>
    </xf>
    <xf numFmtId="0" fontId="67" fillId="0" borderId="0" xfId="0" applyFont="1">
      <alignment vertical="center"/>
    </xf>
    <xf numFmtId="0" fontId="0" fillId="5" borderId="28" xfId="0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5" borderId="31" xfId="0" applyFill="1" applyBorder="1">
      <alignment vertical="center"/>
    </xf>
    <xf numFmtId="0" fontId="0" fillId="0" borderId="32" xfId="0" applyBorder="1">
      <alignment vertical="center"/>
    </xf>
    <xf numFmtId="0" fontId="66" fillId="0" borderId="32" xfId="0" applyFont="1" applyBorder="1">
      <alignment vertical="center"/>
    </xf>
    <xf numFmtId="0" fontId="28" fillId="3" borderId="32" xfId="0" applyFont="1" applyFill="1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5" borderId="33" xfId="0" applyFill="1" applyBorder="1">
      <alignment vertical="center"/>
    </xf>
    <xf numFmtId="0" fontId="3" fillId="0" borderId="34" xfId="0" applyFont="1" applyBorder="1">
      <alignment vertical="center"/>
    </xf>
    <xf numFmtId="0" fontId="13" fillId="0" borderId="34" xfId="0" applyFont="1" applyBorder="1">
      <alignment vertical="center"/>
    </xf>
    <xf numFmtId="165" fontId="13" fillId="0" borderId="34" xfId="0" applyNumberFormat="1" applyFont="1" applyBorder="1">
      <alignment vertical="center"/>
    </xf>
    <xf numFmtId="0" fontId="68" fillId="0" borderId="36" xfId="0" applyFont="1" applyBorder="1" applyAlignment="1">
      <alignment horizontal="center" vertical="center"/>
    </xf>
    <xf numFmtId="0" fontId="69" fillId="0" borderId="36" xfId="0" applyFont="1" applyBorder="1" applyAlignment="1">
      <alignment horizontal="center" vertical="center"/>
    </xf>
    <xf numFmtId="0" fontId="70" fillId="0" borderId="36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horizontal="right" vertical="center"/>
    </xf>
    <xf numFmtId="0" fontId="70" fillId="0" borderId="0" xfId="0" applyFont="1" applyAlignment="1">
      <alignment horizontal="right" vertical="center"/>
    </xf>
    <xf numFmtId="0" fontId="68" fillId="0" borderId="0" xfId="0" applyFont="1">
      <alignment vertical="center"/>
    </xf>
    <xf numFmtId="0" fontId="69" fillId="0" borderId="0" xfId="0" applyFont="1" applyAlignment="1">
      <alignment horizontal="left" vertical="center"/>
    </xf>
    <xf numFmtId="0" fontId="73" fillId="3" borderId="0" xfId="0" applyFont="1" applyFill="1">
      <alignment vertical="center"/>
    </xf>
    <xf numFmtId="0" fontId="73" fillId="3" borderId="0" xfId="0" applyFont="1" applyFill="1" applyAlignment="1">
      <alignment horizontal="right" vertical="center"/>
    </xf>
    <xf numFmtId="0" fontId="74" fillId="3" borderId="0" xfId="0" applyFont="1" applyFill="1" applyAlignment="1">
      <alignment horizontal="right" vertical="center"/>
    </xf>
    <xf numFmtId="0" fontId="73" fillId="0" borderId="0" xfId="0" applyFont="1">
      <alignment vertical="center"/>
    </xf>
    <xf numFmtId="0" fontId="73" fillId="0" borderId="0" xfId="0" applyFont="1" applyAlignment="1">
      <alignment horizontal="right" vertical="center"/>
    </xf>
    <xf numFmtId="0" fontId="74" fillId="0" borderId="0" xfId="0" applyFont="1" applyAlignment="1">
      <alignment horizontal="right" vertical="center"/>
    </xf>
    <xf numFmtId="0" fontId="70" fillId="0" borderId="0" xfId="0" applyFont="1">
      <alignment vertical="center"/>
    </xf>
    <xf numFmtId="0" fontId="77" fillId="0" borderId="0" xfId="0" applyFont="1" applyAlignment="1">
      <alignment horizontal="justify" vertical="center"/>
    </xf>
    <xf numFmtId="0" fontId="68" fillId="0" borderId="37" xfId="0" applyFont="1" applyBorder="1" applyAlignment="1">
      <alignment horizontal="right" vertical="center"/>
    </xf>
    <xf numFmtId="0" fontId="70" fillId="0" borderId="37" xfId="0" applyFont="1" applyBorder="1" applyAlignment="1">
      <alignment horizontal="right" vertical="center"/>
    </xf>
    <xf numFmtId="0" fontId="70" fillId="0" borderId="3" xfId="0" applyFont="1" applyBorder="1" applyAlignment="1">
      <alignment horizontal="right" vertical="center"/>
    </xf>
    <xf numFmtId="0" fontId="68" fillId="0" borderId="2" xfId="0" applyFont="1" applyBorder="1">
      <alignment vertical="center"/>
    </xf>
    <xf numFmtId="0" fontId="70" fillId="0" borderId="9" xfId="0" applyFont="1" applyBorder="1" applyAlignment="1">
      <alignment horizontal="right" vertical="center"/>
    </xf>
    <xf numFmtId="0" fontId="73" fillId="3" borderId="2" xfId="0" applyFont="1" applyFill="1" applyBorder="1">
      <alignment vertical="center"/>
    </xf>
    <xf numFmtId="0" fontId="74" fillId="3" borderId="9" xfId="0" applyFont="1" applyFill="1" applyBorder="1" applyAlignment="1">
      <alignment horizontal="right" vertical="center"/>
    </xf>
    <xf numFmtId="0" fontId="69" fillId="0" borderId="0" xfId="0" applyFont="1">
      <alignment vertical="center"/>
    </xf>
    <xf numFmtId="0" fontId="68" fillId="0" borderId="0" xfId="0" applyFont="1" applyAlignment="1">
      <alignment horizontal="left" vertical="center"/>
    </xf>
    <xf numFmtId="0" fontId="68" fillId="4" borderId="2" xfId="0" applyFont="1" applyFill="1" applyBorder="1">
      <alignment vertical="center"/>
    </xf>
    <xf numFmtId="0" fontId="69" fillId="4" borderId="0" xfId="0" applyFont="1" applyFill="1" applyAlignment="1">
      <alignment horizontal="left" vertical="center"/>
    </xf>
    <xf numFmtId="0" fontId="68" fillId="4" borderId="0" xfId="0" applyFont="1" applyFill="1" applyAlignment="1">
      <alignment horizontal="right" vertical="center"/>
    </xf>
    <xf numFmtId="0" fontId="70" fillId="4" borderId="0" xfId="0" applyFont="1" applyFill="1" applyAlignment="1">
      <alignment horizontal="right" vertical="center"/>
    </xf>
    <xf numFmtId="0" fontId="70" fillId="4" borderId="9" xfId="0" applyFont="1" applyFill="1" applyBorder="1" applyAlignment="1">
      <alignment horizontal="right" vertical="center"/>
    </xf>
    <xf numFmtId="0" fontId="73" fillId="0" borderId="2" xfId="0" applyFont="1" applyBorder="1">
      <alignment vertical="center"/>
    </xf>
    <xf numFmtId="0" fontId="74" fillId="0" borderId="9" xfId="0" applyFont="1" applyBorder="1" applyAlignment="1">
      <alignment horizontal="right" vertical="center"/>
    </xf>
    <xf numFmtId="0" fontId="73" fillId="0" borderId="10" xfId="0" applyFont="1" applyBorder="1">
      <alignment vertical="center"/>
    </xf>
    <xf numFmtId="0" fontId="73" fillId="0" borderId="1" xfId="0" applyFont="1" applyBorder="1">
      <alignment vertical="center"/>
    </xf>
    <xf numFmtId="0" fontId="73" fillId="0" borderId="1" xfId="0" applyFont="1" applyBorder="1" applyAlignment="1">
      <alignment horizontal="right" vertical="center"/>
    </xf>
    <xf numFmtId="0" fontId="74" fillId="0" borderId="1" xfId="0" applyFont="1" applyBorder="1" applyAlignment="1">
      <alignment horizontal="right" vertical="center"/>
    </xf>
    <xf numFmtId="0" fontId="74" fillId="0" borderId="11" xfId="0" applyFont="1" applyBorder="1" applyAlignment="1">
      <alignment horizontal="right" vertical="center"/>
    </xf>
    <xf numFmtId="0" fontId="63" fillId="0" borderId="0" xfId="0" applyFont="1" applyAlignment="1">
      <alignment horizontal="right" vertical="center"/>
    </xf>
    <xf numFmtId="167" fontId="64" fillId="0" borderId="0" xfId="0" applyNumberFormat="1" applyFont="1">
      <alignment vertical="center"/>
    </xf>
    <xf numFmtId="167" fontId="64" fillId="0" borderId="0" xfId="0" applyNumberFormat="1" applyFont="1" applyAlignment="1">
      <alignment horizontal="center" vertical="center"/>
    </xf>
    <xf numFmtId="0" fontId="78" fillId="0" borderId="0" xfId="0" applyFont="1">
      <alignment vertical="center"/>
    </xf>
    <xf numFmtId="0" fontId="63" fillId="0" borderId="15" xfId="0" applyFont="1" applyBorder="1" applyAlignment="1">
      <alignment horizontal="right" vertical="center"/>
    </xf>
    <xf numFmtId="0" fontId="79" fillId="0" borderId="0" xfId="0" applyFont="1">
      <alignment vertical="center"/>
    </xf>
    <xf numFmtId="0" fontId="79" fillId="0" borderId="0" xfId="0" applyFont="1" applyAlignment="1">
      <alignment horizontal="center" vertical="center"/>
    </xf>
    <xf numFmtId="0" fontId="64" fillId="0" borderId="15" xfId="0" applyFont="1" applyBorder="1">
      <alignment vertical="center"/>
    </xf>
    <xf numFmtId="167" fontId="64" fillId="0" borderId="15" xfId="0" applyNumberFormat="1" applyFont="1" applyBorder="1">
      <alignment vertical="center"/>
    </xf>
    <xf numFmtId="167" fontId="64" fillId="0" borderId="15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170" fontId="33" fillId="0" borderId="0" xfId="0" applyNumberFormat="1" applyFont="1" applyAlignment="1">
      <alignment horizontal="right" vertical="center"/>
    </xf>
    <xf numFmtId="170" fontId="20" fillId="0" borderId="0" xfId="0" applyNumberFormat="1" applyFont="1" applyAlignment="1">
      <alignment horizontal="right" vertical="center"/>
    </xf>
    <xf numFmtId="170" fontId="33" fillId="0" borderId="15" xfId="0" applyNumberFormat="1" applyFont="1" applyBorder="1" applyAlignment="1">
      <alignment horizontal="right" vertical="center"/>
    </xf>
    <xf numFmtId="170" fontId="33" fillId="0" borderId="14" xfId="0" applyNumberFormat="1" applyFont="1" applyBorder="1" applyAlignment="1">
      <alignment horizontal="right" vertical="center"/>
    </xf>
    <xf numFmtId="167" fontId="64" fillId="0" borderId="42" xfId="0" applyNumberFormat="1" applyFont="1" applyBorder="1">
      <alignment vertical="center"/>
    </xf>
    <xf numFmtId="167" fontId="64" fillId="0" borderId="38" xfId="0" applyNumberFormat="1" applyFont="1" applyBorder="1">
      <alignment vertical="center"/>
    </xf>
    <xf numFmtId="0" fontId="64" fillId="0" borderId="0" xfId="0" applyFont="1" applyAlignment="1">
      <alignment horizontal="right" vertical="center"/>
    </xf>
    <xf numFmtId="0" fontId="64" fillId="0" borderId="16" xfId="0" applyFont="1" applyBorder="1" applyAlignment="1">
      <alignment horizontal="right" vertical="center"/>
    </xf>
    <xf numFmtId="0" fontId="64" fillId="0" borderId="14" xfId="0" applyFont="1" applyBorder="1" applyAlignment="1">
      <alignment horizontal="right" vertical="center"/>
    </xf>
    <xf numFmtId="169" fontId="64" fillId="0" borderId="0" xfId="0" applyNumberFormat="1" applyFont="1" applyAlignment="1">
      <alignment horizontal="right" vertical="center"/>
    </xf>
    <xf numFmtId="169" fontId="64" fillId="0" borderId="15" xfId="0" applyNumberFormat="1" applyFont="1" applyBorder="1" applyAlignment="1">
      <alignment horizontal="right" vertical="center"/>
    </xf>
    <xf numFmtId="169" fontId="64" fillId="0" borderId="14" xfId="0" applyNumberFormat="1" applyFont="1" applyBorder="1" applyAlignment="1">
      <alignment horizontal="right" vertical="center"/>
    </xf>
    <xf numFmtId="168" fontId="64" fillId="0" borderId="45" xfId="0" applyNumberFormat="1" applyFont="1" applyBorder="1">
      <alignment vertical="center"/>
    </xf>
    <xf numFmtId="168" fontId="64" fillId="0" borderId="38" xfId="0" applyNumberFormat="1" applyFont="1" applyBorder="1">
      <alignment vertical="center"/>
    </xf>
    <xf numFmtId="0" fontId="64" fillId="0" borderId="12" xfId="0" applyFont="1" applyBorder="1" applyAlignment="1">
      <alignment horizontal="left" vertical="center"/>
    </xf>
    <xf numFmtId="0" fontId="64" fillId="0" borderId="8" xfId="0" applyFont="1" applyBorder="1" applyAlignment="1">
      <alignment horizontal="left" vertical="center"/>
    </xf>
    <xf numFmtId="0" fontId="64" fillId="0" borderId="8" xfId="0" applyFont="1" applyBorder="1" applyAlignment="1">
      <alignment horizontal="center" vertical="center"/>
    </xf>
    <xf numFmtId="0" fontId="63" fillId="0" borderId="40" xfId="0" applyFont="1" applyBorder="1" applyAlignment="1">
      <alignment horizontal="center" vertical="center"/>
    </xf>
    <xf numFmtId="0" fontId="64" fillId="0" borderId="44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64" fillId="0" borderId="13" xfId="0" applyFont="1" applyBorder="1" applyAlignment="1">
      <alignment horizontal="left" vertical="center"/>
    </xf>
    <xf numFmtId="0" fontId="64" fillId="0" borderId="38" xfId="0" applyFont="1" applyBorder="1">
      <alignment vertical="center"/>
    </xf>
    <xf numFmtId="168" fontId="64" fillId="0" borderId="45" xfId="0" applyNumberFormat="1" applyFont="1" applyBorder="1" applyAlignment="1">
      <alignment horizontal="right" vertical="center"/>
    </xf>
    <xf numFmtId="168" fontId="64" fillId="0" borderId="38" xfId="0" applyNumberFormat="1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64" fillId="0" borderId="16" xfId="0" applyFont="1" applyBorder="1">
      <alignment vertical="center"/>
    </xf>
    <xf numFmtId="0" fontId="63" fillId="0" borderId="16" xfId="0" applyFont="1" applyBorder="1" applyAlignment="1">
      <alignment horizontal="right" vertical="center"/>
    </xf>
    <xf numFmtId="0" fontId="64" fillId="0" borderId="16" xfId="0" applyFont="1" applyBorder="1" applyAlignment="1">
      <alignment horizontal="center" vertical="center"/>
    </xf>
    <xf numFmtId="168" fontId="64" fillId="0" borderId="46" xfId="0" applyNumberFormat="1" applyFont="1" applyBorder="1">
      <alignment vertical="center"/>
    </xf>
    <xf numFmtId="168" fontId="64" fillId="0" borderId="41" xfId="0" applyNumberFormat="1" applyFont="1" applyBorder="1">
      <alignment vertical="center"/>
    </xf>
    <xf numFmtId="168" fontId="64" fillId="0" borderId="47" xfId="0" applyNumberFormat="1" applyFont="1" applyBorder="1">
      <alignment vertical="center"/>
    </xf>
    <xf numFmtId="168" fontId="64" fillId="0" borderId="42" xfId="0" applyNumberFormat="1" applyFont="1" applyBorder="1">
      <alignment vertical="center"/>
    </xf>
    <xf numFmtId="167" fontId="64" fillId="0" borderId="16" xfId="0" applyNumberFormat="1" applyFont="1" applyBorder="1">
      <alignment vertical="center"/>
    </xf>
    <xf numFmtId="167" fontId="64" fillId="0" borderId="16" xfId="0" applyNumberFormat="1" applyFont="1" applyBorder="1" applyAlignment="1">
      <alignment horizontal="center" vertical="center"/>
    </xf>
    <xf numFmtId="167" fontId="64" fillId="0" borderId="41" xfId="0" applyNumberFormat="1" applyFont="1" applyBorder="1">
      <alignment vertical="center"/>
    </xf>
    <xf numFmtId="0" fontId="64" fillId="0" borderId="0" xfId="0" applyFont="1" applyAlignment="1">
      <alignment horizontal="left" vertical="center"/>
    </xf>
    <xf numFmtId="167" fontId="64" fillId="0" borderId="45" xfId="0" applyNumberFormat="1" applyFont="1" applyBorder="1">
      <alignment vertical="center"/>
    </xf>
    <xf numFmtId="167" fontId="64" fillId="0" borderId="0" xfId="0" applyNumberFormat="1" applyFont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63" fillId="0" borderId="14" xfId="0" applyFont="1" applyBorder="1" applyAlignment="1">
      <alignment horizontal="left" vertical="center"/>
    </xf>
    <xf numFmtId="0" fontId="63" fillId="0" borderId="14" xfId="0" applyFont="1" applyBorder="1" applyAlignment="1">
      <alignment horizontal="right" vertical="center"/>
    </xf>
    <xf numFmtId="167" fontId="64" fillId="0" borderId="14" xfId="0" applyNumberFormat="1" applyFont="1" applyBorder="1" applyAlignment="1">
      <alignment horizontal="left" vertical="center"/>
    </xf>
    <xf numFmtId="167" fontId="64" fillId="0" borderId="14" xfId="0" applyNumberFormat="1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81" fillId="0" borderId="0" xfId="0" applyFont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167" fontId="64" fillId="0" borderId="47" xfId="0" applyNumberFormat="1" applyFont="1" applyBorder="1">
      <alignment vertical="center"/>
    </xf>
    <xf numFmtId="167" fontId="64" fillId="0" borderId="45" xfId="0" applyNumberFormat="1" applyFont="1" applyBorder="1" applyAlignment="1">
      <alignment horizontal="left" vertical="center"/>
    </xf>
    <xf numFmtId="167" fontId="64" fillId="0" borderId="38" xfId="0" applyNumberFormat="1" applyFont="1" applyBorder="1" applyAlignment="1">
      <alignment horizontal="left" vertical="center"/>
    </xf>
    <xf numFmtId="167" fontId="64" fillId="0" borderId="48" xfId="0" applyNumberFormat="1" applyFont="1" applyBorder="1" applyAlignment="1">
      <alignment horizontal="left" vertical="center"/>
    </xf>
    <xf numFmtId="167" fontId="64" fillId="0" borderId="49" xfId="0" applyNumberFormat="1" applyFont="1" applyBorder="1" applyAlignment="1">
      <alignment horizontal="left" vertical="center"/>
    </xf>
    <xf numFmtId="167" fontId="64" fillId="0" borderId="45" xfId="0" applyNumberFormat="1" applyFont="1" applyBorder="1" applyAlignment="1">
      <alignment horizontal="right" vertical="center"/>
    </xf>
    <xf numFmtId="167" fontId="64" fillId="0" borderId="38" xfId="0" applyNumberFormat="1" applyFont="1" applyBorder="1" applyAlignment="1">
      <alignment horizontal="right" vertical="center"/>
    </xf>
    <xf numFmtId="167" fontId="64" fillId="0" borderId="48" xfId="0" applyNumberFormat="1" applyFont="1" applyBorder="1" applyAlignment="1">
      <alignment horizontal="right" vertical="center"/>
    </xf>
    <xf numFmtId="167" fontId="64" fillId="0" borderId="49" xfId="0" applyNumberFormat="1" applyFont="1" applyBorder="1" applyAlignment="1">
      <alignment horizontal="right" vertical="center"/>
    </xf>
    <xf numFmtId="0" fontId="82" fillId="0" borderId="0" xfId="0" applyFont="1" applyAlignment="1">
      <alignment horizontal="center" vertical="center"/>
    </xf>
    <xf numFmtId="0" fontId="64" fillId="0" borderId="15" xfId="0" applyFont="1" applyBorder="1" applyAlignment="1">
      <alignment horizontal="right" vertical="center"/>
    </xf>
    <xf numFmtId="0" fontId="64" fillId="0" borderId="15" xfId="0" applyFont="1" applyBorder="1" applyAlignment="1">
      <alignment horizontal="center" vertical="center"/>
    </xf>
    <xf numFmtId="3" fontId="14" fillId="0" borderId="0" xfId="0" applyNumberFormat="1" applyFont="1">
      <alignment vertical="center"/>
    </xf>
    <xf numFmtId="165" fontId="16" fillId="0" borderId="0" xfId="1" applyNumberFormat="1" applyFont="1" applyFill="1" applyBorder="1" applyAlignment="1">
      <alignment horizontal="right" vertical="center"/>
    </xf>
    <xf numFmtId="0" fontId="35" fillId="0" borderId="14" xfId="0" applyFont="1" applyBorder="1" applyAlignment="1">
      <alignment horizontal="right" vertical="center"/>
    </xf>
    <xf numFmtId="165" fontId="16" fillId="0" borderId="14" xfId="1" applyNumberFormat="1" applyFont="1" applyFill="1" applyBorder="1" applyAlignment="1">
      <alignment horizontal="right" vertical="center"/>
    </xf>
    <xf numFmtId="0" fontId="16" fillId="0" borderId="18" xfId="0" applyFont="1" applyBorder="1" applyAlignment="1">
      <alignment horizontal="center" vertical="center"/>
    </xf>
    <xf numFmtId="3" fontId="16" fillId="0" borderId="0" xfId="0" applyNumberFormat="1" applyFont="1" applyAlignment="1">
      <alignment horizontal="right" vertical="center"/>
    </xf>
    <xf numFmtId="174" fontId="16" fillId="0" borderId="0" xfId="1" applyNumberFormat="1" applyFont="1" applyFill="1" applyBorder="1" applyAlignment="1">
      <alignment horizontal="right" vertical="center"/>
    </xf>
    <xf numFmtId="0" fontId="31" fillId="0" borderId="18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84" fillId="0" borderId="0" xfId="0" applyFont="1">
      <alignment vertical="center"/>
    </xf>
    <xf numFmtId="3" fontId="16" fillId="0" borderId="15" xfId="0" applyNumberFormat="1" applyFont="1" applyBorder="1" applyAlignment="1">
      <alignment horizontal="right" vertical="center"/>
    </xf>
    <xf numFmtId="174" fontId="16" fillId="0" borderId="15" xfId="1" applyNumberFormat="1" applyFont="1" applyFill="1" applyBorder="1" applyAlignment="1">
      <alignment horizontal="right" vertical="center"/>
    </xf>
    <xf numFmtId="0" fontId="33" fillId="0" borderId="15" xfId="0" applyFont="1" applyBorder="1">
      <alignment vertical="center"/>
    </xf>
    <xf numFmtId="168" fontId="64" fillId="0" borderId="47" xfId="0" applyNumberFormat="1" applyFont="1" applyBorder="1" applyAlignment="1">
      <alignment horizontal="right" vertical="center"/>
    </xf>
    <xf numFmtId="168" fontId="64" fillId="0" borderId="0" xfId="0" applyNumberFormat="1" applyFont="1" applyAlignment="1">
      <alignment horizontal="right" vertical="center"/>
    </xf>
    <xf numFmtId="168" fontId="64" fillId="0" borderId="0" xfId="0" applyNumberFormat="1" applyFont="1">
      <alignment vertical="center"/>
    </xf>
    <xf numFmtId="168" fontId="64" fillId="0" borderId="16" xfId="0" applyNumberFormat="1" applyFont="1" applyBorder="1">
      <alignment vertical="center"/>
    </xf>
    <xf numFmtId="168" fontId="64" fillId="0" borderId="15" xfId="0" applyNumberFormat="1" applyFont="1" applyBorder="1">
      <alignment vertical="center"/>
    </xf>
    <xf numFmtId="168" fontId="64" fillId="0" borderId="14" xfId="0" applyNumberFormat="1" applyFont="1" applyBorder="1" applyAlignment="1">
      <alignment horizontal="right" vertical="center"/>
    </xf>
    <xf numFmtId="168" fontId="16" fillId="0" borderId="0" xfId="0" applyNumberFormat="1" applyFont="1">
      <alignment vertical="center"/>
    </xf>
    <xf numFmtId="168" fontId="64" fillId="0" borderId="48" xfId="0" applyNumberFormat="1" applyFont="1" applyBorder="1" applyAlignment="1">
      <alignment horizontal="right" vertical="center"/>
    </xf>
    <xf numFmtId="2" fontId="33" fillId="0" borderId="0" xfId="0" applyNumberFormat="1" applyFont="1">
      <alignment vertical="center"/>
    </xf>
    <xf numFmtId="173" fontId="33" fillId="0" borderId="0" xfId="0" applyNumberFormat="1" applyFont="1" applyAlignment="1">
      <alignment horizontal="right" vertical="center"/>
    </xf>
    <xf numFmtId="2" fontId="33" fillId="0" borderId="0" xfId="0" applyNumberFormat="1" applyFont="1" applyAlignment="1">
      <alignment horizontal="right" vertical="center" wrapText="1"/>
    </xf>
    <xf numFmtId="2" fontId="33" fillId="0" borderId="0" xfId="0" applyNumberFormat="1" applyFont="1" applyAlignment="1">
      <alignment horizontal="right" vertical="center"/>
    </xf>
    <xf numFmtId="173" fontId="33" fillId="0" borderId="14" xfId="0" applyNumberFormat="1" applyFont="1" applyBorder="1" applyAlignment="1">
      <alignment horizontal="right" vertical="center"/>
    </xf>
    <xf numFmtId="4" fontId="16" fillId="0" borderId="0" xfId="0" applyNumberFormat="1" applyFont="1" applyAlignment="1">
      <alignment horizontal="right" vertical="center"/>
    </xf>
    <xf numFmtId="4" fontId="16" fillId="0" borderId="14" xfId="0" applyNumberFormat="1" applyFont="1" applyBorder="1" applyAlignment="1">
      <alignment horizontal="right" vertical="center"/>
    </xf>
    <xf numFmtId="0" fontId="64" fillId="0" borderId="14" xfId="0" applyFont="1" applyBorder="1">
      <alignment vertical="center"/>
    </xf>
    <xf numFmtId="168" fontId="64" fillId="0" borderId="49" xfId="0" applyNumberFormat="1" applyFont="1" applyBorder="1" applyAlignment="1">
      <alignment horizontal="right" vertical="center"/>
    </xf>
    <xf numFmtId="0" fontId="64" fillId="0" borderId="24" xfId="0" applyFont="1" applyBorder="1" applyAlignment="1">
      <alignment horizontal="center" vertical="center"/>
    </xf>
    <xf numFmtId="3" fontId="14" fillId="0" borderId="22" xfId="0" applyNumberFormat="1" applyFont="1" applyBorder="1" applyAlignment="1">
      <alignment horizontal="right" vertical="center"/>
    </xf>
    <xf numFmtId="0" fontId="64" fillId="0" borderId="22" xfId="0" applyFont="1" applyBorder="1" applyAlignment="1">
      <alignment horizontal="right" vertical="center"/>
    </xf>
    <xf numFmtId="0" fontId="64" fillId="0" borderId="50" xfId="0" applyFont="1" applyBorder="1" applyAlignment="1">
      <alignment horizontal="right" vertical="center"/>
    </xf>
    <xf numFmtId="0" fontId="64" fillId="0" borderId="51" xfId="0" applyFont="1" applyBorder="1" applyAlignment="1">
      <alignment horizontal="right" vertical="center"/>
    </xf>
    <xf numFmtId="0" fontId="64" fillId="0" borderId="27" xfId="0" applyFont="1" applyBorder="1" applyAlignment="1">
      <alignment horizontal="right" vertical="center"/>
    </xf>
    <xf numFmtId="170" fontId="14" fillId="0" borderId="0" xfId="0" applyNumberFormat="1" applyFont="1" applyAlignment="1">
      <alignment horizontal="center" vertical="center"/>
    </xf>
    <xf numFmtId="169" fontId="14" fillId="0" borderId="0" xfId="1" applyNumberFormat="1" applyFont="1" applyBorder="1" applyAlignment="1">
      <alignment vertical="center"/>
    </xf>
    <xf numFmtId="170" fontId="14" fillId="0" borderId="0" xfId="2" applyNumberFormat="1" applyFont="1" applyFill="1" applyBorder="1" applyAlignment="1">
      <alignment horizontal="right" vertical="center"/>
    </xf>
    <xf numFmtId="173" fontId="14" fillId="0" borderId="0" xfId="1" applyNumberFormat="1" applyFont="1" applyBorder="1" applyAlignment="1">
      <alignment vertical="center"/>
    </xf>
    <xf numFmtId="170" fontId="14" fillId="0" borderId="14" xfId="0" applyNumberFormat="1" applyFont="1" applyBorder="1" applyAlignment="1">
      <alignment horizontal="center" vertical="center"/>
    </xf>
    <xf numFmtId="169" fontId="14" fillId="0" borderId="14" xfId="1" applyNumberFormat="1" applyFont="1" applyBorder="1" applyAlignment="1">
      <alignment vertical="center"/>
    </xf>
    <xf numFmtId="170" fontId="14" fillId="0" borderId="14" xfId="2" applyNumberFormat="1" applyFont="1" applyFill="1" applyBorder="1" applyAlignment="1">
      <alignment horizontal="right" vertical="center"/>
    </xf>
    <xf numFmtId="173" fontId="14" fillId="0" borderId="14" xfId="1" applyNumberFormat="1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21" fillId="0" borderId="52" xfId="0" applyFont="1" applyBorder="1">
      <alignment vertical="center"/>
    </xf>
    <xf numFmtId="170" fontId="14" fillId="0" borderId="52" xfId="2" applyNumberFormat="1" applyFont="1" applyFill="1" applyBorder="1" applyAlignment="1">
      <alignment horizontal="right" vertical="center"/>
    </xf>
    <xf numFmtId="173" fontId="14" fillId="0" borderId="52" xfId="1" applyNumberFormat="1" applyFont="1" applyBorder="1" applyAlignment="1">
      <alignment vertical="center"/>
    </xf>
    <xf numFmtId="0" fontId="63" fillId="0" borderId="53" xfId="0" applyFont="1" applyBorder="1" applyAlignment="1">
      <alignment horizontal="left" vertical="center"/>
    </xf>
    <xf numFmtId="0" fontId="64" fillId="0" borderId="54" xfId="0" applyFont="1" applyBorder="1">
      <alignment vertical="center"/>
    </xf>
    <xf numFmtId="0" fontId="64" fillId="0" borderId="55" xfId="0" applyFont="1" applyBorder="1">
      <alignment vertical="center"/>
    </xf>
    <xf numFmtId="0" fontId="62" fillId="0" borderId="54" xfId="0" applyFont="1" applyBorder="1" applyAlignment="1">
      <alignment horizontal="left" vertical="center"/>
    </xf>
    <xf numFmtId="0" fontId="62" fillId="0" borderId="54" xfId="0" applyFont="1" applyBorder="1" applyAlignment="1">
      <alignment horizontal="right" vertical="center"/>
    </xf>
    <xf numFmtId="0" fontId="62" fillId="0" borderId="56" xfId="0" applyFont="1" applyBorder="1" applyAlignment="1">
      <alignment horizontal="right" vertical="center"/>
    </xf>
    <xf numFmtId="0" fontId="16" fillId="0" borderId="55" xfId="0" applyFont="1" applyBorder="1" applyAlignment="1">
      <alignment horizontal="left" vertical="center"/>
    </xf>
    <xf numFmtId="0" fontId="62" fillId="0" borderId="57" xfId="0" applyFont="1" applyBorder="1" applyAlignment="1">
      <alignment horizontal="left" vertical="center"/>
    </xf>
    <xf numFmtId="0" fontId="21" fillId="0" borderId="58" xfId="0" applyFont="1" applyBorder="1">
      <alignment vertical="center"/>
    </xf>
    <xf numFmtId="0" fontId="16" fillId="0" borderId="56" xfId="0" applyFont="1" applyBorder="1" applyAlignment="1">
      <alignment horizontal="right" vertical="center"/>
    </xf>
    <xf numFmtId="0" fontId="23" fillId="0" borderId="52" xfId="0" applyFont="1" applyBorder="1">
      <alignment vertical="center"/>
    </xf>
    <xf numFmtId="169" fontId="14" fillId="0" borderId="0" xfId="0" applyNumberFormat="1" applyFont="1">
      <alignment vertical="center"/>
    </xf>
    <xf numFmtId="169" fontId="14" fillId="0" borderId="0" xfId="2" applyNumberFormat="1" applyFont="1" applyFill="1" applyBorder="1" applyAlignment="1">
      <alignment vertical="center"/>
    </xf>
    <xf numFmtId="0" fontId="85" fillId="0" borderId="15" xfId="0" applyFont="1" applyBorder="1" applyAlignment="1">
      <alignment horizontal="left" vertical="center"/>
    </xf>
    <xf numFmtId="0" fontId="56" fillId="0" borderId="15" xfId="0" applyFont="1" applyBorder="1" applyAlignment="1">
      <alignment horizontal="right" vertical="center"/>
    </xf>
    <xf numFmtId="0" fontId="56" fillId="0" borderId="15" xfId="0" applyFont="1" applyBorder="1" applyAlignment="1">
      <alignment horizontal="left" vertical="center"/>
    </xf>
    <xf numFmtId="0" fontId="89" fillId="0" borderId="0" xfId="0" applyFont="1" applyAlignment="1">
      <alignment horizontal="left" vertical="center"/>
    </xf>
    <xf numFmtId="0" fontId="56" fillId="0" borderId="18" xfId="0" applyFont="1" applyBorder="1" applyAlignment="1">
      <alignment horizontal="center" vertical="center"/>
    </xf>
    <xf numFmtId="0" fontId="85" fillId="0" borderId="18" xfId="0" applyFont="1" applyBorder="1" applyAlignment="1">
      <alignment horizontal="center" vertical="center"/>
    </xf>
    <xf numFmtId="0" fontId="87" fillId="0" borderId="18" xfId="0" applyFont="1" applyBorder="1" applyAlignment="1">
      <alignment horizontal="center" vertical="center"/>
    </xf>
    <xf numFmtId="0" fontId="87" fillId="0" borderId="0" xfId="0" applyFont="1" applyAlignment="1">
      <alignment horizontal="right" vertical="center"/>
    </xf>
    <xf numFmtId="3" fontId="62" fillId="0" borderId="0" xfId="0" applyNumberFormat="1" applyFont="1" applyAlignment="1">
      <alignment horizontal="right" vertical="center"/>
    </xf>
    <xf numFmtId="0" fontId="85" fillId="0" borderId="0" xfId="0" applyFont="1" applyAlignment="1">
      <alignment horizontal="right" vertical="center"/>
    </xf>
    <xf numFmtId="3" fontId="85" fillId="0" borderId="0" xfId="0" applyNumberFormat="1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0" fontId="88" fillId="0" borderId="14" xfId="0" applyFont="1" applyBorder="1" applyAlignment="1">
      <alignment horizontal="right" vertical="center"/>
    </xf>
    <xf numFmtId="0" fontId="56" fillId="0" borderId="14" xfId="0" applyFont="1" applyBorder="1" applyAlignment="1">
      <alignment horizontal="left" vertical="center"/>
    </xf>
    <xf numFmtId="0" fontId="56" fillId="0" borderId="14" xfId="0" applyFont="1" applyBorder="1" applyAlignment="1">
      <alignment horizontal="right" vertical="center"/>
    </xf>
    <xf numFmtId="0" fontId="85" fillId="0" borderId="14" xfId="0" applyFont="1" applyBorder="1" applyAlignment="1">
      <alignment horizontal="right" vertical="center"/>
    </xf>
    <xf numFmtId="0" fontId="85" fillId="0" borderId="14" xfId="0" applyFont="1" applyBorder="1" applyAlignment="1">
      <alignment horizontal="center" vertical="center"/>
    </xf>
    <xf numFmtId="0" fontId="85" fillId="0" borderId="13" xfId="0" applyFont="1" applyBorder="1" applyAlignment="1">
      <alignment horizontal="left" vertical="center"/>
    </xf>
    <xf numFmtId="0" fontId="85" fillId="0" borderId="0" xfId="0" applyFont="1" applyAlignment="1">
      <alignment horizontal="left" vertical="center"/>
    </xf>
    <xf numFmtId="0" fontId="62" fillId="0" borderId="0" xfId="0" applyFont="1">
      <alignment vertical="center"/>
    </xf>
    <xf numFmtId="0" fontId="62" fillId="0" borderId="0" xfId="0" applyFont="1" applyAlignment="1">
      <alignment horizontal="center" vertical="center"/>
    </xf>
    <xf numFmtId="0" fontId="94" fillId="0" borderId="0" xfId="0" applyFont="1" applyAlignment="1">
      <alignment horizontal="right" vertical="center"/>
    </xf>
    <xf numFmtId="0" fontId="65" fillId="0" borderId="15" xfId="0" applyFont="1" applyBorder="1" applyAlignment="1">
      <alignment horizontal="center" vertical="center"/>
    </xf>
    <xf numFmtId="0" fontId="65" fillId="0" borderId="15" xfId="0" applyFont="1" applyBorder="1" applyAlignment="1">
      <alignment horizontal="left" vertical="center"/>
    </xf>
    <xf numFmtId="0" fontId="95" fillId="0" borderId="15" xfId="0" applyFont="1" applyBorder="1" applyAlignment="1">
      <alignment horizontal="left" vertical="center"/>
    </xf>
    <xf numFmtId="0" fontId="65" fillId="0" borderId="15" xfId="0" applyFont="1" applyBorder="1" applyAlignment="1">
      <alignment horizontal="right" vertical="center"/>
    </xf>
    <xf numFmtId="3" fontId="65" fillId="0" borderId="15" xfId="0" applyNumberFormat="1" applyFont="1" applyBorder="1" applyAlignment="1">
      <alignment horizontal="right" vertical="center"/>
    </xf>
    <xf numFmtId="0" fontId="49" fillId="0" borderId="16" xfId="0" applyFont="1" applyBorder="1" applyAlignment="1">
      <alignment horizontal="center" vertical="center"/>
    </xf>
    <xf numFmtId="0" fontId="65" fillId="0" borderId="16" xfId="0" applyFont="1" applyBorder="1" applyAlignment="1">
      <alignment horizontal="left" vertical="center"/>
    </xf>
    <xf numFmtId="0" fontId="95" fillId="0" borderId="16" xfId="0" applyFont="1" applyBorder="1" applyAlignment="1">
      <alignment horizontal="left" vertical="center"/>
    </xf>
    <xf numFmtId="3" fontId="65" fillId="0" borderId="16" xfId="0" applyNumberFormat="1" applyFont="1" applyBorder="1" applyAlignment="1">
      <alignment horizontal="right" vertical="center"/>
    </xf>
    <xf numFmtId="0" fontId="65" fillId="0" borderId="16" xfId="0" applyFont="1" applyBorder="1" applyAlignment="1">
      <alignment horizontal="right" vertical="center"/>
    </xf>
    <xf numFmtId="0" fontId="49" fillId="0" borderId="15" xfId="0" applyFont="1" applyBorder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0" fontId="62" fillId="0" borderId="18" xfId="0" applyFont="1" applyBorder="1" applyAlignment="1">
      <alignment horizontal="center" vertical="center"/>
    </xf>
    <xf numFmtId="0" fontId="93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95" fillId="0" borderId="0" xfId="0" applyFont="1" applyAlignment="1">
      <alignment horizontal="left" vertical="center"/>
    </xf>
    <xf numFmtId="0" fontId="65" fillId="0" borderId="0" xfId="0" applyFont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95" fillId="0" borderId="14" xfId="0" applyFont="1" applyBorder="1" applyAlignment="1">
      <alignment horizontal="left" vertical="center"/>
    </xf>
    <xf numFmtId="0" fontId="65" fillId="0" borderId="14" xfId="0" applyFont="1" applyBorder="1" applyAlignment="1">
      <alignment horizontal="right" vertical="center"/>
    </xf>
    <xf numFmtId="0" fontId="50" fillId="3" borderId="0" xfId="0" applyFont="1" applyFill="1" applyAlignment="1">
      <alignment horizontal="left" vertical="center"/>
    </xf>
    <xf numFmtId="0" fontId="26" fillId="3" borderId="0" xfId="0" applyFont="1" applyFill="1">
      <alignment vertical="center"/>
    </xf>
    <xf numFmtId="0" fontId="99" fillId="0" borderId="8" xfId="0" applyFont="1" applyBorder="1" applyAlignment="1">
      <alignment horizontal="left" vertical="center"/>
    </xf>
    <xf numFmtId="0" fontId="93" fillId="0" borderId="8" xfId="0" applyFont="1" applyBorder="1" applyAlignment="1">
      <alignment horizontal="center" vertical="center"/>
    </xf>
    <xf numFmtId="0" fontId="101" fillId="0" borderId="0" xfId="0" applyFont="1" applyAlignment="1">
      <alignment horizontal="left" vertical="center"/>
    </xf>
    <xf numFmtId="0" fontId="102" fillId="0" borderId="0" xfId="0" applyFont="1" applyAlignment="1">
      <alignment horizontal="left" vertical="center"/>
    </xf>
    <xf numFmtId="0" fontId="99" fillId="0" borderId="12" xfId="0" applyFont="1" applyBorder="1" applyAlignment="1">
      <alignment horizontal="left" vertical="center"/>
    </xf>
    <xf numFmtId="0" fontId="62" fillId="0" borderId="12" xfId="0" applyFont="1" applyBorder="1" applyAlignment="1">
      <alignment horizontal="center" vertical="center"/>
    </xf>
    <xf numFmtId="0" fontId="99" fillId="0" borderId="12" xfId="0" applyFont="1" applyBorder="1" applyAlignment="1">
      <alignment horizontal="center" vertical="center"/>
    </xf>
    <xf numFmtId="0" fontId="99" fillId="0" borderId="0" xfId="0" applyFont="1" applyAlignment="1">
      <alignment horizontal="right" vertical="center"/>
    </xf>
    <xf numFmtId="0" fontId="99" fillId="0" borderId="0" xfId="0" applyFont="1" applyAlignment="1">
      <alignment horizontal="left" vertical="center"/>
    </xf>
    <xf numFmtId="0" fontId="99" fillId="0" borderId="0" xfId="0" applyFont="1" applyAlignment="1">
      <alignment horizontal="center" vertical="center"/>
    </xf>
    <xf numFmtId="0" fontId="93" fillId="0" borderId="0" xfId="0" applyFont="1" applyAlignment="1">
      <alignment horizontal="right" vertical="center"/>
    </xf>
    <xf numFmtId="0" fontId="100" fillId="0" borderId="14" xfId="0" applyFont="1" applyBorder="1" applyAlignment="1">
      <alignment horizontal="left" vertical="center"/>
    </xf>
    <xf numFmtId="0" fontId="93" fillId="0" borderId="14" xfId="0" applyFont="1" applyBorder="1" applyAlignment="1">
      <alignment horizontal="right" vertical="center"/>
    </xf>
    <xf numFmtId="3" fontId="62" fillId="0" borderId="14" xfId="0" applyNumberFormat="1" applyFont="1" applyBorder="1" applyAlignment="1">
      <alignment horizontal="right" vertical="center"/>
    </xf>
    <xf numFmtId="0" fontId="62" fillId="0" borderId="14" xfId="0" applyFont="1" applyBorder="1" applyAlignment="1">
      <alignment horizontal="right" vertical="center"/>
    </xf>
    <xf numFmtId="0" fontId="99" fillId="0" borderId="14" xfId="0" applyFont="1" applyBorder="1" applyAlignment="1">
      <alignment horizontal="left" vertical="center"/>
    </xf>
    <xf numFmtId="0" fontId="9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right" vertical="center"/>
    </xf>
    <xf numFmtId="0" fontId="62" fillId="0" borderId="14" xfId="0" applyFont="1" applyBorder="1" applyAlignment="1">
      <alignment horizontal="center" vertical="center"/>
    </xf>
    <xf numFmtId="173" fontId="62" fillId="0" borderId="0" xfId="0" applyNumberFormat="1" applyFont="1" applyAlignment="1">
      <alignment horizontal="right" vertical="center"/>
    </xf>
    <xf numFmtId="173" fontId="85" fillId="0" borderId="0" xfId="0" applyNumberFormat="1" applyFont="1" applyAlignment="1">
      <alignment horizontal="right" vertical="center"/>
    </xf>
    <xf numFmtId="0" fontId="94" fillId="0" borderId="0" xfId="0" applyFont="1">
      <alignment vertical="center"/>
    </xf>
    <xf numFmtId="0" fontId="104" fillId="0" borderId="0" xfId="0" applyFont="1">
      <alignment vertical="center"/>
    </xf>
    <xf numFmtId="0" fontId="104" fillId="0" borderId="0" xfId="0" applyFont="1" applyAlignment="1">
      <alignment horizontal="right" vertical="center"/>
    </xf>
    <xf numFmtId="0" fontId="104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105" fillId="0" borderId="0" xfId="0" applyFont="1">
      <alignment vertical="center"/>
    </xf>
    <xf numFmtId="0" fontId="105" fillId="0" borderId="0" xfId="0" applyFont="1" applyAlignment="1">
      <alignment horizontal="center" vertical="center"/>
    </xf>
    <xf numFmtId="0" fontId="64" fillId="0" borderId="12" xfId="0" applyFont="1" applyBorder="1">
      <alignment vertical="center"/>
    </xf>
    <xf numFmtId="0" fontId="64" fillId="0" borderId="8" xfId="0" applyFont="1" applyBorder="1">
      <alignment vertical="center"/>
    </xf>
    <xf numFmtId="0" fontId="64" fillId="0" borderId="13" xfId="0" applyFont="1" applyBorder="1">
      <alignment vertical="center"/>
    </xf>
    <xf numFmtId="0" fontId="64" fillId="0" borderId="13" xfId="0" applyFont="1" applyBorder="1" applyAlignment="1">
      <alignment horizontal="center" vertical="center"/>
    </xf>
    <xf numFmtId="166" fontId="64" fillId="0" borderId="13" xfId="0" applyNumberFormat="1" applyFont="1" applyBorder="1">
      <alignment vertical="center"/>
    </xf>
    <xf numFmtId="167" fontId="64" fillId="0" borderId="13" xfId="0" applyNumberFormat="1" applyFont="1" applyBorder="1">
      <alignment vertical="center"/>
    </xf>
    <xf numFmtId="169" fontId="64" fillId="0" borderId="0" xfId="1" applyNumberFormat="1" applyFont="1" applyFill="1" applyBorder="1" applyAlignment="1">
      <alignment horizontal="right" vertical="center"/>
    </xf>
    <xf numFmtId="168" fontId="106" fillId="0" borderId="0" xfId="0" applyNumberFormat="1" applyFont="1">
      <alignment vertical="center"/>
    </xf>
    <xf numFmtId="0" fontId="106" fillId="0" borderId="0" xfId="0" applyFont="1" applyAlignment="1">
      <alignment horizontal="center" vertical="center"/>
    </xf>
    <xf numFmtId="0" fontId="106" fillId="0" borderId="0" xfId="0" applyFont="1">
      <alignment vertical="center"/>
    </xf>
    <xf numFmtId="0" fontId="65" fillId="0" borderId="0" xfId="0" applyFont="1">
      <alignment vertical="center"/>
    </xf>
    <xf numFmtId="0" fontId="106" fillId="0" borderId="0" xfId="0" applyFont="1" applyAlignment="1">
      <alignment horizontal="right" vertical="center"/>
    </xf>
    <xf numFmtId="164" fontId="64" fillId="0" borderId="0" xfId="2" applyFont="1" applyFill="1" applyBorder="1" applyAlignment="1">
      <alignment horizontal="right" vertical="center"/>
    </xf>
    <xf numFmtId="165" fontId="64" fillId="0" borderId="0" xfId="1" applyNumberFormat="1" applyFont="1" applyFill="1" applyBorder="1" applyAlignment="1">
      <alignment horizontal="right" vertical="center"/>
    </xf>
    <xf numFmtId="166" fontId="64" fillId="0" borderId="0" xfId="0" applyNumberFormat="1" applyFont="1">
      <alignment vertical="center"/>
    </xf>
    <xf numFmtId="168" fontId="62" fillId="0" borderId="0" xfId="0" applyNumberFormat="1" applyFont="1">
      <alignment vertical="center"/>
    </xf>
    <xf numFmtId="0" fontId="106" fillId="0" borderId="14" xfId="0" applyFont="1" applyBorder="1">
      <alignment vertical="center"/>
    </xf>
    <xf numFmtId="169" fontId="64" fillId="0" borderId="14" xfId="1" applyNumberFormat="1" applyFont="1" applyFill="1" applyBorder="1" applyAlignment="1">
      <alignment horizontal="right" vertical="center"/>
    </xf>
    <xf numFmtId="167" fontId="64" fillId="0" borderId="14" xfId="0" applyNumberFormat="1" applyFont="1" applyBorder="1">
      <alignment vertical="center"/>
    </xf>
    <xf numFmtId="166" fontId="64" fillId="0" borderId="14" xfId="0" applyNumberFormat="1" applyFont="1" applyBorder="1">
      <alignment vertical="center"/>
    </xf>
    <xf numFmtId="168" fontId="64" fillId="0" borderId="14" xfId="0" applyNumberFormat="1" applyFont="1" applyBorder="1">
      <alignment vertical="center"/>
    </xf>
    <xf numFmtId="168" fontId="106" fillId="0" borderId="14" xfId="0" applyNumberFormat="1" applyFont="1" applyBorder="1">
      <alignment vertical="center"/>
    </xf>
    <xf numFmtId="0" fontId="106" fillId="0" borderId="14" xfId="0" applyFont="1" applyBorder="1" applyAlignment="1">
      <alignment horizontal="center" vertical="center"/>
    </xf>
    <xf numFmtId="0" fontId="107" fillId="0" borderId="0" xfId="0" applyFont="1">
      <alignment vertical="center"/>
    </xf>
    <xf numFmtId="0" fontId="108" fillId="0" borderId="0" xfId="0" applyFont="1">
      <alignment vertical="center"/>
    </xf>
    <xf numFmtId="171" fontId="108" fillId="0" borderId="0" xfId="0" applyNumberFormat="1" applyFont="1" applyAlignment="1">
      <alignment horizontal="left" vertical="center"/>
    </xf>
    <xf numFmtId="171" fontId="108" fillId="0" borderId="0" xfId="0" applyNumberFormat="1" applyFont="1" applyAlignment="1">
      <alignment horizontal="center" vertical="center"/>
    </xf>
    <xf numFmtId="0" fontId="108" fillId="0" borderId="0" xfId="0" applyFont="1" applyAlignment="1">
      <alignment horizontal="left" vertical="center"/>
    </xf>
    <xf numFmtId="0" fontId="108" fillId="0" borderId="0" xfId="0" applyFont="1" applyAlignment="1">
      <alignment horizontal="center" vertical="center"/>
    </xf>
    <xf numFmtId="0" fontId="96" fillId="0" borderId="0" xfId="0" applyFont="1">
      <alignment vertical="center"/>
    </xf>
    <xf numFmtId="0" fontId="96" fillId="0" borderId="0" xfId="0" applyFont="1" applyAlignment="1">
      <alignment horizontal="center" vertical="center"/>
    </xf>
    <xf numFmtId="0" fontId="110" fillId="0" borderId="0" xfId="0" applyFont="1">
      <alignment vertical="center"/>
    </xf>
    <xf numFmtId="0" fontId="15" fillId="0" borderId="12" xfId="0" applyFont="1" applyBorder="1">
      <alignment vertical="center"/>
    </xf>
    <xf numFmtId="0" fontId="111" fillId="0" borderId="0" xfId="0" applyFont="1">
      <alignment vertical="center"/>
    </xf>
    <xf numFmtId="173" fontId="111" fillId="0" borderId="0" xfId="0" applyNumberFormat="1" applyFont="1">
      <alignment vertical="center"/>
    </xf>
    <xf numFmtId="173" fontId="62" fillId="0" borderId="14" xfId="0" applyNumberFormat="1" applyFont="1" applyBorder="1" applyAlignment="1">
      <alignment horizontal="right" vertical="center"/>
    </xf>
    <xf numFmtId="168" fontId="85" fillId="0" borderId="0" xfId="0" applyNumberFormat="1" applyFont="1" applyAlignment="1">
      <alignment horizontal="right" vertical="center"/>
    </xf>
    <xf numFmtId="168" fontId="111" fillId="0" borderId="0" xfId="0" applyNumberFormat="1" applyFont="1">
      <alignment vertical="center"/>
    </xf>
    <xf numFmtId="0" fontId="93" fillId="0" borderId="16" xfId="0" applyFont="1" applyBorder="1" applyAlignment="1">
      <alignment horizontal="right" vertical="center"/>
    </xf>
    <xf numFmtId="0" fontId="62" fillId="0" borderId="16" xfId="0" applyFont="1" applyBorder="1" applyAlignment="1">
      <alignment horizontal="right" vertical="center"/>
    </xf>
    <xf numFmtId="0" fontId="62" fillId="0" borderId="16" xfId="0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90" fillId="0" borderId="0" xfId="0" applyFont="1" applyAlignment="1">
      <alignment horizontal="left" vertical="center"/>
    </xf>
    <xf numFmtId="173" fontId="62" fillId="0" borderId="16" xfId="0" applyNumberFormat="1" applyFont="1" applyBorder="1" applyAlignment="1">
      <alignment horizontal="right" vertical="center"/>
    </xf>
    <xf numFmtId="0" fontId="62" fillId="0" borderId="15" xfId="0" applyFont="1" applyBorder="1" applyAlignment="1">
      <alignment horizontal="left" vertical="center"/>
    </xf>
    <xf numFmtId="2" fontId="62" fillId="0" borderId="0" xfId="0" applyNumberFormat="1" applyFont="1" applyAlignment="1">
      <alignment horizontal="right" vertical="center"/>
    </xf>
    <xf numFmtId="2" fontId="111" fillId="0" borderId="0" xfId="0" applyNumberFormat="1" applyFont="1">
      <alignment vertical="center"/>
    </xf>
    <xf numFmtId="2" fontId="85" fillId="0" borderId="0" xfId="0" applyNumberFormat="1" applyFont="1" applyAlignment="1">
      <alignment horizontal="right" vertical="center"/>
    </xf>
    <xf numFmtId="2" fontId="62" fillId="0" borderId="14" xfId="0" applyNumberFormat="1" applyFont="1" applyBorder="1" applyAlignment="1">
      <alignment horizontal="right" vertical="center"/>
    </xf>
    <xf numFmtId="0" fontId="33" fillId="0" borderId="12" xfId="0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1" fillId="0" borderId="16" xfId="0" applyFont="1" applyBorder="1" applyAlignment="1">
      <alignment horizontal="left" vertical="center"/>
    </xf>
    <xf numFmtId="0" fontId="35" fillId="0" borderId="14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87" fillId="0" borderId="0" xfId="0" applyFont="1" applyAlignment="1">
      <alignment horizontal="left" vertical="center"/>
    </xf>
    <xf numFmtId="0" fontId="87" fillId="0" borderId="14" xfId="0" applyFont="1" applyBorder="1" applyAlignment="1">
      <alignment horizontal="left" vertical="center"/>
    </xf>
    <xf numFmtId="173" fontId="85" fillId="0" borderId="0" xfId="0" applyNumberFormat="1" applyFont="1" applyAlignment="1">
      <alignment horizontal="left" vertical="center"/>
    </xf>
    <xf numFmtId="0" fontId="85" fillId="0" borderId="14" xfId="0" applyFont="1" applyBorder="1" applyAlignment="1">
      <alignment horizontal="left" vertical="center"/>
    </xf>
    <xf numFmtId="0" fontId="55" fillId="0" borderId="14" xfId="0" applyFont="1" applyBorder="1">
      <alignment vertical="center"/>
    </xf>
    <xf numFmtId="0" fontId="93" fillId="0" borderId="14" xfId="0" applyFont="1" applyBorder="1" applyAlignment="1">
      <alignment horizontal="left" vertical="center"/>
    </xf>
    <xf numFmtId="0" fontId="112" fillId="0" borderId="0" xfId="0" applyFont="1" applyAlignment="1">
      <alignment horizontal="left" vertical="center"/>
    </xf>
    <xf numFmtId="0" fontId="113" fillId="0" borderId="0" xfId="0" applyFont="1">
      <alignment vertical="center"/>
    </xf>
    <xf numFmtId="0" fontId="114" fillId="0" borderId="0" xfId="0" applyFont="1" applyAlignment="1">
      <alignment horizontal="center" vertical="center"/>
    </xf>
    <xf numFmtId="0" fontId="114" fillId="0" borderId="0" xfId="0" applyFont="1">
      <alignment vertical="center"/>
    </xf>
    <xf numFmtId="0" fontId="115" fillId="0" borderId="0" xfId="0" applyFont="1">
      <alignment vertical="center"/>
    </xf>
    <xf numFmtId="3" fontId="85" fillId="0" borderId="0" xfId="0" applyNumberFormat="1" applyFont="1" applyAlignment="1">
      <alignment horizontal="left" vertical="center"/>
    </xf>
    <xf numFmtId="3" fontId="62" fillId="0" borderId="16" xfId="0" applyNumberFormat="1" applyFont="1" applyBorder="1" applyAlignment="1">
      <alignment horizontal="right" vertical="center"/>
    </xf>
    <xf numFmtId="3" fontId="62" fillId="0" borderId="0" xfId="0" applyNumberFormat="1" applyFont="1" applyAlignment="1">
      <alignment horizontal="left" vertical="center"/>
    </xf>
    <xf numFmtId="0" fontId="62" fillId="0" borderId="12" xfId="0" applyFont="1" applyBorder="1" applyAlignment="1">
      <alignment horizontal="left" vertical="center"/>
    </xf>
    <xf numFmtId="0" fontId="62" fillId="0" borderId="8" xfId="0" applyFont="1" applyBorder="1" applyAlignment="1">
      <alignment horizontal="left" vertical="center"/>
    </xf>
    <xf numFmtId="173" fontId="94" fillId="0" borderId="0" xfId="0" applyNumberFormat="1" applyFont="1">
      <alignment vertical="center"/>
    </xf>
    <xf numFmtId="0" fontId="62" fillId="0" borderId="16" xfId="0" applyFont="1" applyBorder="1" applyAlignment="1">
      <alignment horizontal="left" vertical="center"/>
    </xf>
    <xf numFmtId="3" fontId="94" fillId="0" borderId="0" xfId="0" applyNumberFormat="1" applyFont="1">
      <alignment vertical="center"/>
    </xf>
    <xf numFmtId="173" fontId="62" fillId="0" borderId="0" xfId="0" applyNumberFormat="1" applyFont="1" applyAlignment="1">
      <alignment horizontal="left" vertical="center"/>
    </xf>
    <xf numFmtId="0" fontId="62" fillId="0" borderId="14" xfId="0" applyFont="1" applyBorder="1" applyAlignment="1">
      <alignment horizontal="left" vertical="center"/>
    </xf>
    <xf numFmtId="173" fontId="62" fillId="0" borderId="15" xfId="0" applyNumberFormat="1" applyFont="1" applyBorder="1" applyAlignment="1">
      <alignment horizontal="right" vertical="center"/>
    </xf>
    <xf numFmtId="0" fontId="89" fillId="0" borderId="0" xfId="0" applyFont="1">
      <alignment vertical="center"/>
    </xf>
    <xf numFmtId="0" fontId="68" fillId="0" borderId="4" xfId="0" applyFont="1" applyBorder="1">
      <alignment vertical="center"/>
    </xf>
    <xf numFmtId="0" fontId="71" fillId="0" borderId="37" xfId="0" applyFont="1" applyBorder="1">
      <alignment vertical="center"/>
    </xf>
    <xf numFmtId="0" fontId="68" fillId="0" borderId="0" xfId="0" applyFont="1" applyAlignment="1">
      <alignment horizontal="left" vertical="center"/>
    </xf>
    <xf numFmtId="0" fontId="71" fillId="0" borderId="0" xfId="0" applyFont="1">
      <alignment vertical="center"/>
    </xf>
    <xf numFmtId="0" fontId="69" fillId="0" borderId="0" xfId="0" applyFont="1">
      <alignment vertical="center"/>
    </xf>
    <xf numFmtId="0" fontId="76" fillId="0" borderId="0" xfId="0" applyFont="1">
      <alignment vertical="center"/>
    </xf>
    <xf numFmtId="0" fontId="68" fillId="0" borderId="13" xfId="0" applyFont="1" applyBorder="1">
      <alignment vertical="center"/>
    </xf>
    <xf numFmtId="0" fontId="71" fillId="0" borderId="13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15" fillId="0" borderId="0" xfId="0" applyFont="1">
      <alignment vertical="center"/>
    </xf>
    <xf numFmtId="0" fontId="33" fillId="0" borderId="12" xfId="0" applyFont="1" applyBorder="1" applyAlignment="1">
      <alignment horizontal="center" vertical="center"/>
    </xf>
    <xf numFmtId="0" fontId="31" fillId="0" borderId="13" xfId="0" applyFont="1" applyBorder="1">
      <alignment vertical="center"/>
    </xf>
    <xf numFmtId="0" fontId="15" fillId="0" borderId="13" xfId="0" applyFont="1" applyBorder="1">
      <alignment vertical="center"/>
    </xf>
    <xf numFmtId="0" fontId="31" fillId="0" borderId="15" xfId="0" applyFont="1" applyBorder="1">
      <alignment vertical="center"/>
    </xf>
    <xf numFmtId="0" fontId="15" fillId="0" borderId="15" xfId="0" applyFont="1" applyBorder="1">
      <alignment vertical="center"/>
    </xf>
    <xf numFmtId="0" fontId="89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39" xfId="0" applyFont="1" applyBorder="1" applyAlignment="1">
      <alignment horizontal="center" vertical="center"/>
    </xf>
    <xf numFmtId="0" fontId="64" fillId="0" borderId="4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/>
    </xf>
    <xf numFmtId="0" fontId="64" fillId="0" borderId="20" xfId="0" applyFont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116" fillId="0" borderId="0" xfId="0" applyFont="1">
      <alignment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3" fontId="116" fillId="0" borderId="0" xfId="0" applyNumberFormat="1" applyFont="1">
      <alignment vertical="center"/>
    </xf>
    <xf numFmtId="0" fontId="117" fillId="0" borderId="0" xfId="0" applyFont="1">
      <alignment vertical="center"/>
    </xf>
    <xf numFmtId="0" fontId="118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19" fillId="0" borderId="0" xfId="0" applyFont="1">
      <alignment vertical="center"/>
    </xf>
    <xf numFmtId="0" fontId="116" fillId="0" borderId="0" xfId="0" applyFont="1" applyAlignment="1">
      <alignment horizontal="center" vertical="center" wrapText="1"/>
    </xf>
    <xf numFmtId="3" fontId="1" fillId="12" borderId="17" xfId="0" applyNumberFormat="1" applyFont="1" applyFill="1" applyBorder="1">
      <alignment vertical="center"/>
    </xf>
    <xf numFmtId="0" fontId="119" fillId="0" borderId="0" xfId="0" applyFont="1" applyAlignment="1">
      <alignment horizontal="right" vertical="center"/>
    </xf>
    <xf numFmtId="0" fontId="116" fillId="3" borderId="0" xfId="0" applyFont="1" applyFill="1" applyAlignment="1">
      <alignment horizontal="right" vertical="center"/>
    </xf>
  </cellXfs>
  <cellStyles count="4">
    <cellStyle name="Comma [0]" xfId="2" builtinId="6"/>
    <cellStyle name="Normal" xfId="0" builtinId="0"/>
    <cellStyle name="Percent" xfId="1" builtinId="5"/>
    <cellStyle name="쉼표 [0] 2" xfId="3" xr:uid="{00000000-0005-0000-0000-000002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63608601954295"/>
          <c:y val="6.6657957716304214E-2"/>
          <c:w val="0.85627155979656988"/>
          <c:h val="0.81791222074750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'Fig3'!$B$18</c:f>
              <c:strCache>
                <c:ptCount val="1"/>
                <c:pt idx="0">
                  <c:v>Never</c:v>
                </c:pt>
              </c:strCache>
            </c:strRef>
          </c:tx>
          <c:spPr>
            <a:noFill/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('Fig3'!$F$18,'Fig3'!$H$18)</c:f>
              <c:numCache>
                <c:formatCode>#,##0.0</c:formatCode>
                <c:ptCount val="2"/>
                <c:pt idx="0">
                  <c:v>15.6</c:v>
                </c:pt>
                <c:pt idx="1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F-4401-96B6-2DFA79E71D2D}"/>
            </c:ext>
          </c:extLst>
        </c:ser>
        <c:ser>
          <c:idx val="1"/>
          <c:order val="1"/>
          <c:tx>
            <c:strRef>
              <c:f>'Fig3'!$B$19</c:f>
              <c:strCache>
                <c:ptCount val="1"/>
                <c:pt idx="0">
                  <c:v>Non-regular</c:v>
                </c:pt>
              </c:strCache>
            </c:strRef>
          </c:tx>
          <c:spPr>
            <a:pattFill prst="wdUpDiag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('Fig3'!$F$19,'Fig3'!$H$19)</c:f>
              <c:numCache>
                <c:formatCode>#,##0.0</c:formatCode>
                <c:ptCount val="2"/>
                <c:pt idx="0">
                  <c:v>54</c:v>
                </c:pt>
                <c:pt idx="1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F-4401-96B6-2DFA79E71D2D}"/>
            </c:ext>
          </c:extLst>
        </c:ser>
        <c:ser>
          <c:idx val="2"/>
          <c:order val="2"/>
          <c:tx>
            <c:strRef>
              <c:f>'Fig3'!$B$20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('Fig3'!$F$20,'Fig3'!$H$20)</c:f>
              <c:numCache>
                <c:formatCode>#,##0.0</c:formatCode>
                <c:ptCount val="2"/>
                <c:pt idx="0">
                  <c:v>30.3</c:v>
                </c:pt>
                <c:pt idx="1">
                  <c:v>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FF-4401-96B6-2DFA79E71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54448"/>
        <c:axId val="2119456528"/>
      </c:barChart>
      <c:catAx>
        <c:axId val="21194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ko-KR"/>
          </a:p>
        </c:txPr>
        <c:crossAx val="2119456528"/>
        <c:crosses val="autoZero"/>
        <c:auto val="1"/>
        <c:lblAlgn val="ctr"/>
        <c:lblOffset val="100"/>
        <c:noMultiLvlLbl val="0"/>
      </c:catAx>
      <c:valAx>
        <c:axId val="2119456528"/>
        <c:scaling>
          <c:orientation val="minMax"/>
        </c:scaling>
        <c:delete val="0"/>
        <c:axPos val="l"/>
        <c:numFmt formatCode="#,##0.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ko-KR"/>
          </a:p>
        </c:txPr>
        <c:crossAx val="21194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048565587321308"/>
          <c:y val="2.6922913083425856E-2"/>
          <c:w val="0.1951433735927792"/>
          <c:h val="0.26728212988605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63608601954295"/>
          <c:y val="6.6657957716304214E-2"/>
          <c:w val="0.85627155979656988"/>
          <c:h val="0.81791222074750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'Fig3'!$B$22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('Fig3'!$F$22,'Fig3'!$H$22)</c:f>
              <c:numCache>
                <c:formatCode>#,##0.0</c:formatCode>
                <c:ptCount val="2"/>
                <c:pt idx="0">
                  <c:v>44.8</c:v>
                </c:pt>
                <c:pt idx="1">
                  <c:v>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6-4802-8815-7A597884C212}"/>
            </c:ext>
          </c:extLst>
        </c:ser>
        <c:ser>
          <c:idx val="1"/>
          <c:order val="1"/>
          <c:tx>
            <c:strRef>
              <c:f>'Fig3'!$B$23</c:f>
              <c:strCache>
                <c:ptCount val="1"/>
                <c:pt idx="0">
                  <c:v>1</c:v>
                </c:pt>
              </c:strCache>
            </c:strRef>
          </c:tx>
          <c:spPr>
            <a:pattFill prst="pct20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('Fig3'!$F$23,'Fig3'!$H$23)</c:f>
              <c:numCache>
                <c:formatCode>#,##0.0</c:formatCode>
                <c:ptCount val="2"/>
                <c:pt idx="0">
                  <c:v>28.4</c:v>
                </c:pt>
                <c:pt idx="1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6-4802-8815-7A597884C212}"/>
            </c:ext>
          </c:extLst>
        </c:ser>
        <c:ser>
          <c:idx val="2"/>
          <c:order val="2"/>
          <c:tx>
            <c:strRef>
              <c:f>'Fig3'!$B$24</c:f>
              <c:strCache>
                <c:ptCount val="1"/>
                <c:pt idx="0">
                  <c:v>2</c:v>
                </c:pt>
              </c:strCache>
            </c:strRef>
          </c:tx>
          <c:spPr>
            <a:pattFill prst="dkUpDiag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('Fig3'!$F$24,'Fig3'!$H$24)</c:f>
              <c:numCache>
                <c:formatCode>#,##0.0</c:formatCode>
                <c:ptCount val="2"/>
                <c:pt idx="0">
                  <c:v>13.9</c:v>
                </c:pt>
                <c:pt idx="1">
                  <c:v>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A6-4802-8815-7A597884C212}"/>
            </c:ext>
          </c:extLst>
        </c:ser>
        <c:ser>
          <c:idx val="3"/>
          <c:order val="3"/>
          <c:tx>
            <c:strRef>
              <c:f>'Fig3'!$B$25</c:f>
              <c:strCache>
                <c:ptCount val="1"/>
                <c:pt idx="0">
                  <c:v>3+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('Fig3'!$F$25,'Fig3'!$H$25)</c:f>
              <c:numCache>
                <c:formatCode>#,##0.0</c:formatCode>
                <c:ptCount val="2"/>
                <c:pt idx="0">
                  <c:v>12.9</c:v>
                </c:pt>
                <c:pt idx="1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A6-4802-8815-7A597884C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54448"/>
        <c:axId val="2119456528"/>
      </c:barChart>
      <c:catAx>
        <c:axId val="21194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ko-KR"/>
          </a:p>
        </c:txPr>
        <c:crossAx val="2119456528"/>
        <c:crosses val="autoZero"/>
        <c:auto val="1"/>
        <c:lblAlgn val="ctr"/>
        <c:lblOffset val="100"/>
        <c:noMultiLvlLbl val="0"/>
      </c:catAx>
      <c:valAx>
        <c:axId val="2119456528"/>
        <c:scaling>
          <c:orientation val="minMax"/>
        </c:scaling>
        <c:delete val="0"/>
        <c:axPos val="l"/>
        <c:numFmt formatCode="#,##0.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ko-KR"/>
          </a:p>
        </c:txPr>
        <c:crossAx val="21194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0485655805109524"/>
          <c:y val="3.6849520946834489E-2"/>
          <c:w val="7.7697198078607477E-2"/>
          <c:h val="0.354696835107793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63608601954295"/>
          <c:y val="6.6657957716304214E-2"/>
          <c:w val="0.85627155979656988"/>
          <c:h val="0.81791222074750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'Fig3'!$B$27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('Fig3'!$F$27,'Fig3'!$H$27)</c:f>
              <c:numCache>
                <c:formatCode>#,##0.0</c:formatCode>
                <c:ptCount val="2"/>
                <c:pt idx="0">
                  <c:v>4.2</c:v>
                </c:pt>
                <c:pt idx="1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6-4E68-B368-C6A4E4537FCA}"/>
            </c:ext>
          </c:extLst>
        </c:ser>
        <c:ser>
          <c:idx val="1"/>
          <c:order val="1"/>
          <c:tx>
            <c:strRef>
              <c:f>'Fig3'!$B$28</c:f>
              <c:strCache>
                <c:ptCount val="1"/>
                <c:pt idx="0">
                  <c:v>Survivors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'Fig3'!$S$24:$S$25</c:f>
              <c:strCache>
                <c:ptCount val="2"/>
                <c:pt idx="0">
                  <c:v>Non-adherent</c:v>
                </c:pt>
                <c:pt idx="1">
                  <c:v>Adherent</c:v>
                </c:pt>
              </c:strCache>
            </c:strRef>
          </c:cat>
          <c:val>
            <c:numRef>
              <c:f>('Fig3'!$F$28,'Fig3'!$H$28)</c:f>
              <c:numCache>
                <c:formatCode>#,##0.0</c:formatCode>
                <c:ptCount val="2"/>
                <c:pt idx="0">
                  <c:v>95.8</c:v>
                </c:pt>
                <c:pt idx="1">
                  <c:v>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6-4E68-B368-C6A4E4537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54448"/>
        <c:axId val="2119456528"/>
      </c:barChart>
      <c:catAx>
        <c:axId val="21194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ko-KR"/>
          </a:p>
        </c:txPr>
        <c:crossAx val="2119456528"/>
        <c:crosses val="autoZero"/>
        <c:auto val="1"/>
        <c:lblAlgn val="ctr"/>
        <c:lblOffset val="100"/>
        <c:noMultiLvlLbl val="0"/>
      </c:catAx>
      <c:valAx>
        <c:axId val="2119456528"/>
        <c:scaling>
          <c:orientation val="minMax"/>
        </c:scaling>
        <c:delete val="0"/>
        <c:axPos val="l"/>
        <c:numFmt formatCode="#,##0.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ko-KR"/>
          </a:p>
        </c:txPr>
        <c:crossAx val="21194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117776</xdr:colOff>
      <xdr:row>30</xdr:row>
      <xdr:rowOff>33617</xdr:rowOff>
    </xdr:from>
    <xdr:to>
      <xdr:col>8</xdr:col>
      <xdr:colOff>416524</xdr:colOff>
      <xdr:row>42</xdr:row>
      <xdr:rowOff>143119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C83907B-57B3-3685-1A9E-27FC7871B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145180</xdr:colOff>
      <xdr:row>43</xdr:row>
      <xdr:rowOff>108361</xdr:rowOff>
    </xdr:from>
    <xdr:to>
      <xdr:col>8</xdr:col>
      <xdr:colOff>485742</xdr:colOff>
      <xdr:row>56</xdr:row>
      <xdr:rowOff>11851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5233AD7-F55F-40DD-B112-5538199BA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57</xdr:row>
      <xdr:rowOff>163286</xdr:rowOff>
    </xdr:from>
    <xdr:to>
      <xdr:col>8</xdr:col>
      <xdr:colOff>393998</xdr:colOff>
      <xdr:row>70</xdr:row>
      <xdr:rowOff>66775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557AA0C-20ED-4B55-BB48-441D375D7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A10" workbookViewId="0">
      <selection activeCell="A20" sqref="A20:B36"/>
    </sheetView>
  </sheetViews>
  <sheetFormatPr defaultRowHeight="20.100000000000001" customHeight="1"/>
  <cols>
    <col min="1" max="1" width="21.44140625" style="50" customWidth="1"/>
    <col min="2" max="2" width="60.6640625" customWidth="1"/>
    <col min="3" max="3" width="15.6640625" customWidth="1"/>
    <col min="4" max="4" width="14.21875" customWidth="1"/>
    <col min="5" max="5" width="34" customWidth="1"/>
    <col min="6" max="6" width="25.44140625" customWidth="1"/>
  </cols>
  <sheetData>
    <row r="1" spans="1:6" s="49" customFormat="1" ht="20.100000000000001" customHeight="1">
      <c r="A1" s="569" t="s">
        <v>475</v>
      </c>
      <c r="B1" s="570" t="s">
        <v>468</v>
      </c>
      <c r="C1" s="571"/>
      <c r="D1" s="571"/>
      <c r="E1" s="571"/>
      <c r="F1" s="571"/>
    </row>
    <row r="2" spans="1:6" s="49" customFormat="1" ht="20.100000000000001" customHeight="1">
      <c r="A2" s="569"/>
      <c r="B2" s="571" t="s">
        <v>480</v>
      </c>
      <c r="C2" s="572">
        <f>D10</f>
        <v>32294</v>
      </c>
      <c r="D2" s="571"/>
      <c r="E2" s="571"/>
      <c r="F2" s="571"/>
    </row>
    <row r="3" spans="1:6" s="49" customFormat="1" ht="20.100000000000001" customHeight="1">
      <c r="A3" s="569"/>
      <c r="B3" s="571"/>
      <c r="C3" s="572"/>
      <c r="D3" s="571"/>
      <c r="E3" s="571"/>
      <c r="F3" s="571"/>
    </row>
    <row r="4" spans="1:6" s="49" customFormat="1" ht="20.100000000000001" customHeight="1">
      <c r="A4" s="569"/>
      <c r="B4" s="571"/>
      <c r="C4" s="573"/>
      <c r="D4" s="571"/>
      <c r="E4" s="571"/>
      <c r="F4" s="571"/>
    </row>
    <row r="5" spans="1:6" s="49" customFormat="1" ht="20.100000000000001" customHeight="1">
      <c r="A5" s="569"/>
      <c r="B5" s="570"/>
      <c r="C5" s="571"/>
      <c r="D5" s="571"/>
      <c r="E5" s="571"/>
      <c r="F5" s="571"/>
    </row>
    <row r="6" spans="1:6" s="49" customFormat="1" ht="15.6">
      <c r="A6" s="569"/>
      <c r="B6" s="574"/>
      <c r="C6" s="571"/>
      <c r="D6" s="571"/>
      <c r="E6" s="571"/>
      <c r="F6" s="572"/>
    </row>
    <row r="7" spans="1:6" s="49" customFormat="1" ht="20.100000000000001" customHeight="1">
      <c r="A7" s="569"/>
      <c r="B7" s="570"/>
      <c r="C7" s="571"/>
      <c r="D7" s="571"/>
      <c r="E7" s="571"/>
      <c r="F7" s="571"/>
    </row>
    <row r="8" spans="1:6" s="49" customFormat="1" ht="20.100000000000001" customHeight="1">
      <c r="A8" s="575"/>
      <c r="B8" s="571"/>
      <c r="C8" s="576"/>
      <c r="D8" s="571"/>
      <c r="E8" s="571"/>
      <c r="F8" s="571"/>
    </row>
    <row r="9" spans="1:6" s="49" customFormat="1" ht="20.100000000000001" customHeight="1">
      <c r="A9" s="577"/>
      <c r="B9" s="571"/>
      <c r="C9" s="577" t="s">
        <v>476</v>
      </c>
      <c r="D9" s="577" t="s">
        <v>477</v>
      </c>
      <c r="E9" s="577" t="s">
        <v>474</v>
      </c>
      <c r="F9" s="577" t="s">
        <v>479</v>
      </c>
    </row>
    <row r="10" spans="1:6" s="49" customFormat="1" ht="20.100000000000001" customHeight="1">
      <c r="A10" s="578" t="s">
        <v>478</v>
      </c>
      <c r="B10" s="579" t="s">
        <v>466</v>
      </c>
      <c r="C10" s="572">
        <v>12019</v>
      </c>
      <c r="D10" s="572">
        <f>44313-C10</f>
        <v>32294</v>
      </c>
      <c r="E10" s="576">
        <v>6072</v>
      </c>
      <c r="F10" s="571">
        <f>ROUND((E10/D10)*100,1)</f>
        <v>18.8</v>
      </c>
    </row>
    <row r="11" spans="1:6" s="49" customFormat="1" ht="20.100000000000001" customHeight="1">
      <c r="A11" s="578"/>
      <c r="B11" s="579" t="s">
        <v>467</v>
      </c>
      <c r="C11" s="572">
        <v>201</v>
      </c>
      <c r="D11" s="572">
        <f>D10-C11</f>
        <v>32093</v>
      </c>
      <c r="E11" s="576">
        <v>6030</v>
      </c>
      <c r="F11" s="571">
        <f t="shared" ref="F11:F15" si="0">ROUND((E11/D11)*100,1)</f>
        <v>18.8</v>
      </c>
    </row>
    <row r="12" spans="1:6" s="49" customFormat="1" ht="20.100000000000001" customHeight="1">
      <c r="A12" s="580"/>
      <c r="B12" s="579" t="s">
        <v>471</v>
      </c>
      <c r="C12" s="572">
        <v>8179</v>
      </c>
      <c r="D12" s="572">
        <f t="shared" ref="D12:D15" si="1">D11-C12</f>
        <v>23914</v>
      </c>
      <c r="E12" s="576">
        <v>4481</v>
      </c>
      <c r="F12" s="571">
        <f t="shared" si="0"/>
        <v>18.7</v>
      </c>
    </row>
    <row r="13" spans="1:6" s="49" customFormat="1" ht="20.100000000000001" customHeight="1">
      <c r="A13" s="580"/>
      <c r="B13" s="579" t="s">
        <v>472</v>
      </c>
      <c r="C13" s="572">
        <v>187</v>
      </c>
      <c r="D13" s="572">
        <f t="shared" si="1"/>
        <v>23727</v>
      </c>
      <c r="E13" s="576">
        <v>4440</v>
      </c>
      <c r="F13" s="571">
        <f t="shared" si="0"/>
        <v>18.7</v>
      </c>
    </row>
    <row r="14" spans="1:6" ht="15" thickBot="1">
      <c r="A14" s="577"/>
      <c r="B14" s="579" t="s">
        <v>473</v>
      </c>
      <c r="C14" s="571">
        <v>117</v>
      </c>
      <c r="D14" s="572">
        <f t="shared" si="1"/>
        <v>23610</v>
      </c>
      <c r="E14" s="571">
        <v>4415</v>
      </c>
      <c r="F14" s="571">
        <f t="shared" si="0"/>
        <v>18.7</v>
      </c>
    </row>
    <row r="15" spans="1:6" ht="15" thickBot="1">
      <c r="A15" s="577"/>
      <c r="B15" s="571" t="s">
        <v>470</v>
      </c>
      <c r="C15" s="581">
        <v>192</v>
      </c>
      <c r="D15" s="572">
        <f t="shared" si="1"/>
        <v>23418</v>
      </c>
      <c r="E15" s="582">
        <v>4375</v>
      </c>
      <c r="F15" s="571">
        <f t="shared" si="0"/>
        <v>18.7</v>
      </c>
    </row>
    <row r="16" spans="1:6" ht="20.100000000000001" customHeight="1">
      <c r="A16" s="577"/>
      <c r="B16" s="583" t="s">
        <v>469</v>
      </c>
      <c r="C16" s="572">
        <f>D15</f>
        <v>23418</v>
      </c>
      <c r="D16" s="571"/>
      <c r="E16" s="571"/>
      <c r="F16" s="571"/>
    </row>
    <row r="17" spans="1:6" ht="20.100000000000001" customHeight="1">
      <c r="A17" s="577"/>
      <c r="B17" s="571"/>
      <c r="C17" s="571"/>
      <c r="D17" s="571"/>
      <c r="E17" s="571"/>
      <c r="F17" s="571"/>
    </row>
    <row r="18" spans="1:6" ht="20.100000000000001" customHeight="1">
      <c r="A18" s="577"/>
      <c r="B18" s="571"/>
      <c r="C18" s="571"/>
      <c r="D18" s="571"/>
      <c r="E18" s="571"/>
      <c r="F18" s="571"/>
    </row>
    <row r="19" spans="1:6" ht="20.100000000000001" customHeight="1">
      <c r="A19" s="577"/>
      <c r="B19" s="571"/>
      <c r="C19" s="571"/>
      <c r="D19" s="571"/>
      <c r="E19" s="571"/>
      <c r="F19" s="571"/>
    </row>
    <row r="20" spans="1:6" ht="20.100000000000001" customHeight="1">
      <c r="A20" s="577"/>
      <c r="B20" s="571"/>
      <c r="C20" s="571"/>
      <c r="D20" s="571"/>
      <c r="E20" s="571"/>
      <c r="F20" s="571"/>
    </row>
  </sheetData>
  <mergeCells count="2">
    <mergeCell ref="A1:A7"/>
    <mergeCell ref="A10:A1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selection activeCell="A17" sqref="A17:E23"/>
    </sheetView>
  </sheetViews>
  <sheetFormatPr defaultColWidth="9" defaultRowHeight="13.8"/>
  <cols>
    <col min="1" max="1" width="9.21875" style="218" bestFit="1" customWidth="1"/>
    <col min="2" max="2" width="22.44140625" style="218" bestFit="1" customWidth="1"/>
    <col min="3" max="3" width="24.109375" style="218" bestFit="1" customWidth="1"/>
    <col min="4" max="4" width="63" style="226" bestFit="1" customWidth="1"/>
    <col min="5" max="5" width="47.44140625" style="226" bestFit="1" customWidth="1"/>
    <col min="6" max="16384" width="9" style="218"/>
  </cols>
  <sheetData>
    <row r="1" spans="1:5" s="215" customFormat="1" ht="14.4" thickBot="1">
      <c r="A1" s="212"/>
      <c r="B1" s="213"/>
      <c r="C1" s="212"/>
      <c r="D1" s="214" t="s">
        <v>174</v>
      </c>
      <c r="E1" s="214"/>
    </row>
    <row r="2" spans="1:5" ht="14.4" thickTop="1">
      <c r="A2" s="542" t="s">
        <v>175</v>
      </c>
      <c r="B2" s="543"/>
      <c r="C2" s="216"/>
      <c r="D2" s="217"/>
      <c r="E2" s="217"/>
    </row>
    <row r="3" spans="1:5">
      <c r="A3" s="538" t="s">
        <v>176</v>
      </c>
      <c r="B3" s="539"/>
      <c r="C3" s="216"/>
      <c r="D3" s="217"/>
      <c r="E3" s="217"/>
    </row>
    <row r="4" spans="1:5">
      <c r="B4" s="219"/>
      <c r="C4" s="216" t="s">
        <v>177</v>
      </c>
      <c r="D4" s="217"/>
      <c r="E4" s="217" t="s">
        <v>178</v>
      </c>
    </row>
    <row r="5" spans="1:5" ht="14.4" thickBot="1">
      <c r="B5" s="219"/>
      <c r="C5" s="216" t="s">
        <v>179</v>
      </c>
      <c r="D5" s="217"/>
      <c r="E5" s="217"/>
    </row>
    <row r="6" spans="1:5">
      <c r="A6" s="536" t="s">
        <v>180</v>
      </c>
      <c r="B6" s="537"/>
      <c r="C6" s="228"/>
      <c r="D6" s="229"/>
      <c r="E6" s="230"/>
    </row>
    <row r="7" spans="1:5">
      <c r="A7" s="231"/>
      <c r="B7" s="219" t="s">
        <v>163</v>
      </c>
      <c r="C7" s="216" t="s">
        <v>181</v>
      </c>
      <c r="D7" s="217"/>
      <c r="E7" s="232" t="s">
        <v>182</v>
      </c>
    </row>
    <row r="8" spans="1:5">
      <c r="A8" s="231"/>
      <c r="B8" s="219"/>
      <c r="C8" s="216" t="s">
        <v>183</v>
      </c>
      <c r="D8" s="217"/>
      <c r="E8" s="232"/>
    </row>
    <row r="9" spans="1:5">
      <c r="A9" s="231"/>
      <c r="B9" s="219" t="s">
        <v>202</v>
      </c>
      <c r="C9" s="216" t="s">
        <v>203</v>
      </c>
      <c r="D9" s="217"/>
      <c r="E9" s="232"/>
    </row>
    <row r="10" spans="1:5">
      <c r="A10" s="231"/>
      <c r="B10" s="219"/>
      <c r="C10" s="216" t="s">
        <v>204</v>
      </c>
      <c r="D10" s="217"/>
      <c r="E10" s="232"/>
    </row>
    <row r="11" spans="1:5">
      <c r="A11" s="237"/>
      <c r="B11" s="238" t="s">
        <v>184</v>
      </c>
      <c r="C11" s="239" t="s">
        <v>185</v>
      </c>
      <c r="D11" s="240" t="s">
        <v>186</v>
      </c>
      <c r="E11" s="241" t="s">
        <v>164</v>
      </c>
    </row>
    <row r="12" spans="1:5">
      <c r="A12" s="237"/>
      <c r="B12" s="238"/>
      <c r="C12" s="239" t="s">
        <v>187</v>
      </c>
      <c r="D12" s="240" t="s">
        <v>188</v>
      </c>
      <c r="E12" s="241"/>
    </row>
    <row r="13" spans="1:5" s="223" customFormat="1">
      <c r="A13" s="233"/>
      <c r="B13" s="220" t="s">
        <v>165</v>
      </c>
      <c r="C13" s="221" t="s">
        <v>185</v>
      </c>
      <c r="D13" s="222" t="s">
        <v>166</v>
      </c>
      <c r="E13" s="234" t="s">
        <v>167</v>
      </c>
    </row>
    <row r="14" spans="1:5" s="223" customFormat="1">
      <c r="A14" s="233"/>
      <c r="B14" s="220"/>
      <c r="C14" s="221" t="s">
        <v>189</v>
      </c>
      <c r="D14" s="222" t="s">
        <v>190</v>
      </c>
      <c r="E14" s="234"/>
    </row>
    <row r="15" spans="1:5" s="223" customFormat="1">
      <c r="A15" s="242"/>
      <c r="B15" s="223" t="s">
        <v>191</v>
      </c>
      <c r="C15" s="224" t="s">
        <v>192</v>
      </c>
      <c r="D15" s="225" t="s">
        <v>168</v>
      </c>
      <c r="E15" s="243" t="s">
        <v>167</v>
      </c>
    </row>
    <row r="16" spans="1:5" s="223" customFormat="1" ht="14.4" thickBot="1">
      <c r="A16" s="244"/>
      <c r="B16" s="245"/>
      <c r="C16" s="246" t="s">
        <v>193</v>
      </c>
      <c r="D16" s="247" t="s">
        <v>194</v>
      </c>
      <c r="E16" s="248"/>
    </row>
    <row r="17" spans="1:5">
      <c r="A17" s="538" t="s">
        <v>169</v>
      </c>
      <c r="B17" s="539"/>
      <c r="C17" s="216"/>
      <c r="D17" s="217"/>
      <c r="E17" s="217"/>
    </row>
    <row r="18" spans="1:5">
      <c r="B18" s="219" t="s">
        <v>195</v>
      </c>
      <c r="C18" s="216">
        <v>0</v>
      </c>
      <c r="D18" s="217" t="s">
        <v>196</v>
      </c>
      <c r="E18" s="217" t="s">
        <v>197</v>
      </c>
    </row>
    <row r="19" spans="1:5">
      <c r="B19" s="219" t="s">
        <v>170</v>
      </c>
      <c r="C19" s="216">
        <v>1</v>
      </c>
      <c r="D19" s="217"/>
      <c r="E19" s="217"/>
    </row>
    <row r="20" spans="1:5">
      <c r="C20" s="216">
        <v>2</v>
      </c>
      <c r="D20" s="217"/>
      <c r="E20" s="217"/>
    </row>
    <row r="21" spans="1:5">
      <c r="C21" s="216" t="s">
        <v>198</v>
      </c>
      <c r="D21" s="217"/>
      <c r="E21" s="217"/>
    </row>
    <row r="22" spans="1:5">
      <c r="B22" s="219" t="s">
        <v>199</v>
      </c>
      <c r="C22" s="216" t="s">
        <v>5</v>
      </c>
      <c r="D22" s="217" t="s">
        <v>200</v>
      </c>
      <c r="E22" s="217" t="s">
        <v>182</v>
      </c>
    </row>
    <row r="23" spans="1:5">
      <c r="B23" s="235"/>
      <c r="C23" s="216" t="s">
        <v>171</v>
      </c>
      <c r="D23" s="217" t="s">
        <v>201</v>
      </c>
      <c r="E23" s="217"/>
    </row>
    <row r="24" spans="1:5">
      <c r="B24" s="235"/>
      <c r="C24" s="216"/>
      <c r="D24" s="217"/>
      <c r="E24" s="217"/>
    </row>
    <row r="25" spans="1:5">
      <c r="A25" s="236"/>
      <c r="B25" s="219"/>
      <c r="C25" s="216"/>
      <c r="D25" s="217"/>
      <c r="E25" s="217"/>
    </row>
    <row r="26" spans="1:5">
      <c r="B26" s="235"/>
      <c r="C26" s="216"/>
      <c r="D26" s="217"/>
      <c r="E26" s="217"/>
    </row>
    <row r="27" spans="1:5">
      <c r="A27" s="236"/>
      <c r="B27" s="219"/>
      <c r="C27" s="216"/>
      <c r="D27" s="217"/>
      <c r="E27" s="217"/>
    </row>
    <row r="28" spans="1:5">
      <c r="A28" s="540"/>
      <c r="B28" s="541"/>
      <c r="C28" s="541"/>
      <c r="D28" s="541"/>
      <c r="E28" s="541"/>
    </row>
    <row r="29" spans="1:5" s="226" customFormat="1"/>
    <row r="30" spans="1:5" s="226" customFormat="1"/>
    <row r="31" spans="1:5">
      <c r="A31" s="227"/>
    </row>
    <row r="33" ht="16.95" customHeight="1"/>
    <row r="40" ht="12.75" customHeight="1"/>
  </sheetData>
  <mergeCells count="5">
    <mergeCell ref="A6:B6"/>
    <mergeCell ref="A17:B17"/>
    <mergeCell ref="A28:E28"/>
    <mergeCell ref="A2:B2"/>
    <mergeCell ref="A3:B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50"/>
  <sheetViews>
    <sheetView topLeftCell="B13" zoomScale="70" zoomScaleNormal="70" workbookViewId="0">
      <selection activeCell="J55" sqref="J55"/>
    </sheetView>
  </sheetViews>
  <sheetFormatPr defaultRowHeight="14.4"/>
  <cols>
    <col min="2" max="2" width="13.88671875" customWidth="1"/>
    <col min="3" max="3" width="12.77734375" customWidth="1"/>
    <col min="7" max="7" width="36.21875" bestFit="1" customWidth="1"/>
    <col min="8" max="8" width="12" customWidth="1"/>
    <col min="12" max="12" width="12.88671875" customWidth="1"/>
  </cols>
  <sheetData>
    <row r="2" spans="1:22">
      <c r="A2" s="58"/>
      <c r="O2" s="1"/>
      <c r="P2" s="1"/>
      <c r="Q2" s="1"/>
    </row>
    <row r="3" spans="1:22" ht="15" thickBot="1">
      <c r="A3" s="58"/>
      <c r="B3" s="2" t="s">
        <v>0</v>
      </c>
      <c r="C3" s="1"/>
      <c r="D3" s="1"/>
      <c r="E3" s="1"/>
      <c r="O3" s="1"/>
      <c r="P3" s="1"/>
      <c r="Q3" s="1"/>
    </row>
    <row r="4" spans="1:22">
      <c r="A4" s="58"/>
      <c r="B4" s="3" t="s">
        <v>1</v>
      </c>
      <c r="C4" s="4"/>
      <c r="D4" s="544" t="s">
        <v>2</v>
      </c>
      <c r="E4" s="545"/>
      <c r="O4" s="1"/>
      <c r="P4" s="1"/>
      <c r="Q4" s="1"/>
    </row>
    <row r="5" spans="1:22" ht="15" thickBot="1">
      <c r="A5" s="58"/>
      <c r="B5" s="5"/>
      <c r="C5" s="6"/>
      <c r="D5" s="7" t="s">
        <v>3</v>
      </c>
      <c r="E5" s="6" t="s">
        <v>4</v>
      </c>
      <c r="O5" s="1"/>
      <c r="P5" s="1"/>
      <c r="Q5" s="1"/>
    </row>
    <row r="6" spans="1:22" ht="15" thickTop="1">
      <c r="A6" s="58"/>
      <c r="B6" s="3" t="s">
        <v>0</v>
      </c>
      <c r="C6" s="8"/>
      <c r="D6" s="1"/>
      <c r="E6" s="8"/>
      <c r="O6" s="1"/>
      <c r="P6" s="1"/>
      <c r="Q6" s="1"/>
    </row>
    <row r="7" spans="1:22" ht="17.399999999999999" customHeight="1">
      <c r="A7" s="58"/>
      <c r="B7" s="53" t="s">
        <v>36</v>
      </c>
      <c r="C7" s="10" t="s">
        <v>5</v>
      </c>
      <c r="D7" s="21">
        <v>28321</v>
      </c>
      <c r="E7" s="11">
        <f>D7/SUM($D$7:$D$9)</f>
        <v>0.71052961689957095</v>
      </c>
      <c r="G7" s="54" t="s">
        <v>37</v>
      </c>
      <c r="O7" s="1"/>
      <c r="P7" s="1"/>
      <c r="Q7" s="1"/>
    </row>
    <row r="8" spans="1:22" ht="17.399999999999999">
      <c r="A8" s="58"/>
      <c r="B8" s="12"/>
      <c r="C8" s="43" t="s">
        <v>6</v>
      </c>
      <c r="D8" s="44">
        <v>5473</v>
      </c>
      <c r="E8" s="11">
        <f>D8/SUM($D$7:$D$9)</f>
        <v>0.1373090142753205</v>
      </c>
      <c r="G8" s="54" t="s">
        <v>38</v>
      </c>
      <c r="O8" s="1"/>
      <c r="P8" s="1"/>
      <c r="Q8" s="1"/>
    </row>
    <row r="9" spans="1:22" ht="18" thickBot="1">
      <c r="A9" s="58"/>
      <c r="B9" s="13"/>
      <c r="C9" s="46" t="s">
        <v>7</v>
      </c>
      <c r="D9" s="55">
        <v>6065</v>
      </c>
      <c r="E9" s="14">
        <f>D9/SUM($D$7:$D$9)</f>
        <v>0.1521613688251085</v>
      </c>
      <c r="G9" s="54" t="s">
        <v>39</v>
      </c>
      <c r="O9" s="1"/>
      <c r="P9" s="1"/>
      <c r="Q9" s="1"/>
    </row>
    <row r="10" spans="1:22">
      <c r="A10" s="58"/>
      <c r="B10" s="1"/>
      <c r="C10" s="1"/>
      <c r="D10" s="15">
        <f>SUM(D8:D9)</f>
        <v>11538</v>
      </c>
      <c r="E10" s="16">
        <f>SUM(E8:E9)</f>
        <v>0.289470383100429</v>
      </c>
      <c r="S10" s="1"/>
      <c r="T10" s="1"/>
      <c r="U10" s="1"/>
      <c r="V10" s="1"/>
    </row>
    <row r="11" spans="1:22">
      <c r="D11">
        <f>D7+D8+D9</f>
        <v>39859</v>
      </c>
      <c r="S11" s="1"/>
      <c r="T11" s="1"/>
      <c r="U11" s="1"/>
      <c r="V11" s="1"/>
    </row>
    <row r="12" spans="1:22">
      <c r="G12" s="1"/>
      <c r="H12" s="1"/>
      <c r="S12" s="1"/>
      <c r="T12" s="1"/>
      <c r="U12" s="1"/>
      <c r="V12" s="1"/>
    </row>
    <row r="13" spans="1:22" ht="15" thickBot="1">
      <c r="A13" s="56"/>
      <c r="B13" s="2" t="s">
        <v>0</v>
      </c>
      <c r="C13" s="1"/>
      <c r="D13" s="1"/>
      <c r="E13" s="1"/>
      <c r="F13" s="1"/>
      <c r="G13" s="1"/>
      <c r="H13" s="1"/>
      <c r="S13" s="1"/>
      <c r="T13" s="1"/>
      <c r="U13" s="1"/>
      <c r="V13" s="1"/>
    </row>
    <row r="14" spans="1:22">
      <c r="A14" s="56"/>
      <c r="B14" s="3" t="s">
        <v>1</v>
      </c>
      <c r="C14" s="4"/>
      <c r="D14" s="51" t="s">
        <v>2</v>
      </c>
      <c r="E14" s="52"/>
      <c r="F14" s="1"/>
      <c r="G14" s="1"/>
      <c r="H14" s="1"/>
      <c r="S14" s="1"/>
      <c r="T14" s="1"/>
      <c r="U14" s="1"/>
      <c r="V14" s="1"/>
    </row>
    <row r="15" spans="1:22" ht="15" thickBot="1">
      <c r="A15" s="56"/>
      <c r="B15" s="5"/>
      <c r="C15" s="6"/>
      <c r="D15" s="7" t="s">
        <v>3</v>
      </c>
      <c r="E15" s="6" t="s">
        <v>4</v>
      </c>
      <c r="F15" s="1"/>
      <c r="G15" s="1"/>
      <c r="H15" s="1"/>
      <c r="S15" s="1"/>
      <c r="T15" s="1"/>
      <c r="U15" s="1"/>
      <c r="V15" s="1"/>
    </row>
    <row r="16" spans="1:22" ht="15" thickTop="1">
      <c r="A16" s="56"/>
      <c r="B16" s="3" t="s">
        <v>0</v>
      </c>
      <c r="C16" s="8"/>
      <c r="D16" s="1"/>
      <c r="E16" s="8"/>
      <c r="F16" s="1"/>
      <c r="G16" s="1"/>
      <c r="H16" s="1"/>
      <c r="S16" s="1"/>
      <c r="T16" s="1"/>
      <c r="U16" s="1"/>
      <c r="V16" s="1"/>
    </row>
    <row r="17" spans="1:22" ht="17.399999999999999">
      <c r="A17" s="56"/>
      <c r="B17" s="114" t="s">
        <v>8</v>
      </c>
      <c r="C17" s="10" t="s">
        <v>5</v>
      </c>
      <c r="D17" s="1">
        <v>28321</v>
      </c>
      <c r="E17" s="11">
        <f>D17/SUM($D$17:$D$19)</f>
        <v>0.71052961689957095</v>
      </c>
      <c r="F17" s="1"/>
      <c r="G17" s="54" t="s">
        <v>37</v>
      </c>
      <c r="H17" s="1"/>
      <c r="S17" s="1"/>
      <c r="T17" s="1"/>
      <c r="U17" s="1"/>
      <c r="V17" s="1"/>
    </row>
    <row r="18" spans="1:22" ht="17.399999999999999">
      <c r="A18" s="56"/>
      <c r="B18" s="12"/>
      <c r="C18" s="43" t="s">
        <v>6</v>
      </c>
      <c r="D18" s="44">
        <v>7509</v>
      </c>
      <c r="E18" s="45">
        <f>D18/SUM($D$17:$D$19)</f>
        <v>0.18838907147695627</v>
      </c>
      <c r="F18" s="1"/>
      <c r="G18" s="54" t="s">
        <v>42</v>
      </c>
      <c r="H18" s="1"/>
      <c r="L18" s="1"/>
    </row>
    <row r="19" spans="1:22" ht="18" thickBot="1">
      <c r="A19" s="56"/>
      <c r="B19" s="13"/>
      <c r="C19" s="46" t="s">
        <v>7</v>
      </c>
      <c r="D19" s="47">
        <v>4029</v>
      </c>
      <c r="E19" s="48">
        <f>D19/SUM($D$17:$D$19)</f>
        <v>0.10108131162347274</v>
      </c>
      <c r="F19" s="15"/>
      <c r="G19" s="54" t="s">
        <v>43</v>
      </c>
      <c r="H19" s="1"/>
      <c r="R19" s="1"/>
      <c r="S19" s="1"/>
    </row>
    <row r="20" spans="1:22">
      <c r="A20" s="1"/>
      <c r="B20" s="1"/>
      <c r="C20" s="1"/>
      <c r="D20" s="15">
        <f>SUM(D18:D19)</f>
        <v>11538</v>
      </c>
      <c r="E20" s="16">
        <f>SUM(E18:E19)</f>
        <v>0.289470383100429</v>
      </c>
      <c r="F20" s="15"/>
      <c r="R20" s="1"/>
      <c r="S20" s="1"/>
    </row>
    <row r="21" spans="1:22" ht="15" thickBot="1">
      <c r="D21">
        <f>D17+D18+D19</f>
        <v>39859</v>
      </c>
      <c r="R21" s="1"/>
      <c r="S21" s="1"/>
    </row>
    <row r="22" spans="1:22" ht="15" thickTop="1">
      <c r="A22" s="199"/>
      <c r="B22" s="200"/>
      <c r="C22" s="200"/>
      <c r="D22" s="200"/>
      <c r="E22" s="200"/>
      <c r="F22" s="200"/>
      <c r="G22" s="201"/>
      <c r="J22" s="1"/>
      <c r="K22" s="1"/>
      <c r="L22" s="1"/>
      <c r="M22" s="1"/>
      <c r="N22" s="1"/>
      <c r="R22" s="1"/>
      <c r="S22" s="1"/>
    </row>
    <row r="23" spans="1:22" ht="15" thickBot="1">
      <c r="A23" s="202"/>
      <c r="B23" s="2" t="s">
        <v>0</v>
      </c>
      <c r="C23" s="1"/>
      <c r="D23" s="1"/>
      <c r="E23" s="1"/>
      <c r="G23" s="203"/>
      <c r="J23" s="1"/>
      <c r="K23" s="1"/>
      <c r="L23" s="1"/>
      <c r="M23" s="1"/>
      <c r="N23" s="1"/>
      <c r="R23" s="1"/>
      <c r="S23" s="1"/>
    </row>
    <row r="24" spans="1:22">
      <c r="A24" s="202"/>
      <c r="B24" s="3" t="s">
        <v>1</v>
      </c>
      <c r="C24" s="4"/>
      <c r="D24" s="544" t="s">
        <v>2</v>
      </c>
      <c r="E24" s="545"/>
      <c r="G24" s="203"/>
      <c r="J24" s="1"/>
      <c r="K24" s="1"/>
      <c r="L24" s="1"/>
      <c r="M24" s="1"/>
      <c r="N24" s="1"/>
      <c r="R24" s="1"/>
      <c r="S24" s="1"/>
    </row>
    <row r="25" spans="1:22" ht="15" thickBot="1">
      <c r="A25" s="202"/>
      <c r="B25" s="5"/>
      <c r="C25" s="6"/>
      <c r="D25" s="7" t="s">
        <v>3</v>
      </c>
      <c r="E25" s="6" t="s">
        <v>4</v>
      </c>
      <c r="G25" s="203"/>
      <c r="J25" s="1"/>
      <c r="K25" s="1"/>
      <c r="M25" s="1"/>
      <c r="N25" s="1"/>
    </row>
    <row r="26" spans="1:22" s="1" customFormat="1" ht="17.100000000000001" customHeight="1" thickTop="1">
      <c r="A26" s="202"/>
      <c r="B26" s="3" t="s">
        <v>0</v>
      </c>
      <c r="C26" s="8"/>
      <c r="E26" s="8"/>
      <c r="F26"/>
      <c r="G26" s="204" t="s">
        <v>162</v>
      </c>
      <c r="H26"/>
      <c r="I26"/>
      <c r="L26"/>
      <c r="O26"/>
      <c r="P26"/>
      <c r="Q26"/>
      <c r="R26"/>
      <c r="S26"/>
    </row>
    <row r="27" spans="1:22" s="1" customFormat="1" ht="17.100000000000001" customHeight="1">
      <c r="A27" s="202"/>
      <c r="B27" s="114" t="s">
        <v>11</v>
      </c>
      <c r="C27" s="10" t="s">
        <v>5</v>
      </c>
      <c r="D27" s="21">
        <v>26219</v>
      </c>
      <c r="E27" s="11">
        <f>D27/SUM($D$7:$D$9)</f>
        <v>0.65779372287312776</v>
      </c>
      <c r="F27"/>
      <c r="G27" s="205" t="s">
        <v>12</v>
      </c>
      <c r="H27" s="252" t="s">
        <v>207</v>
      </c>
      <c r="I27"/>
      <c r="L27"/>
      <c r="O27"/>
      <c r="P27"/>
      <c r="Q27"/>
      <c r="R27"/>
      <c r="S27"/>
    </row>
    <row r="28" spans="1:22" s="1" customFormat="1" ht="17.100000000000001" customHeight="1">
      <c r="A28" s="202"/>
      <c r="B28" s="12"/>
      <c r="C28" s="43" t="s">
        <v>6</v>
      </c>
      <c r="D28" s="44">
        <v>4991</v>
      </c>
      <c r="E28" s="11">
        <f>D28/SUM($D$7:$D$9)</f>
        <v>0.12521638776687824</v>
      </c>
      <c r="F28"/>
      <c r="G28" s="205" t="s">
        <v>40</v>
      </c>
      <c r="H28" s="188" t="s">
        <v>255</v>
      </c>
      <c r="I28"/>
      <c r="O28"/>
      <c r="P28"/>
      <c r="Q28"/>
      <c r="R28"/>
      <c r="S28"/>
    </row>
    <row r="29" spans="1:22" s="1" customFormat="1" ht="17.100000000000001" customHeight="1" thickBot="1">
      <c r="A29" s="202"/>
      <c r="B29" s="13"/>
      <c r="C29" s="46" t="s">
        <v>7</v>
      </c>
      <c r="D29" s="55">
        <v>8649</v>
      </c>
      <c r="E29" s="14">
        <f>D29/SUM($D$7:$D$9)</f>
        <v>0.21698988935999397</v>
      </c>
      <c r="F29"/>
      <c r="G29" s="205" t="s">
        <v>41</v>
      </c>
      <c r="H29" s="188" t="s">
        <v>256</v>
      </c>
      <c r="I29"/>
      <c r="J29"/>
      <c r="K29"/>
      <c r="L29"/>
      <c r="M29"/>
      <c r="N29"/>
      <c r="O29"/>
      <c r="P29"/>
      <c r="Q29"/>
      <c r="R29"/>
      <c r="S29"/>
    </row>
    <row r="30" spans="1:22" s="1" customFormat="1" ht="17.100000000000001" customHeight="1" thickBot="1">
      <c r="A30" s="208"/>
      <c r="B30" s="209"/>
      <c r="C30" s="209"/>
      <c r="D30" s="210">
        <f>SUM(D28:D29)</f>
        <v>13640</v>
      </c>
      <c r="E30" s="211">
        <f>SUM(E28:E29)</f>
        <v>0.34220627712687224</v>
      </c>
      <c r="F30" s="206"/>
      <c r="G30" s="207"/>
      <c r="H30"/>
      <c r="I30"/>
      <c r="J30"/>
      <c r="K30"/>
      <c r="L30"/>
      <c r="M30"/>
      <c r="N30"/>
      <c r="O30"/>
      <c r="P30"/>
      <c r="Q30"/>
      <c r="R30"/>
      <c r="S30"/>
    </row>
    <row r="31" spans="1:22" ht="15" thickTop="1">
      <c r="D31">
        <f>D27+D30</f>
        <v>39859</v>
      </c>
    </row>
    <row r="33" spans="1:7" ht="15" thickBot="1">
      <c r="A33" s="57"/>
      <c r="B33" s="2" t="s">
        <v>0</v>
      </c>
      <c r="C33" s="1"/>
      <c r="D33" s="1"/>
      <c r="E33" s="1"/>
    </row>
    <row r="34" spans="1:7">
      <c r="A34" s="57"/>
      <c r="B34" s="3" t="s">
        <v>1</v>
      </c>
      <c r="C34" s="4"/>
      <c r="D34" s="51" t="s">
        <v>2</v>
      </c>
      <c r="E34" s="52"/>
    </row>
    <row r="35" spans="1:7" ht="15" thickBot="1">
      <c r="A35" s="57"/>
      <c r="B35" s="5"/>
      <c r="C35" s="6"/>
      <c r="D35" s="7" t="s">
        <v>3</v>
      </c>
      <c r="E35" s="6" t="s">
        <v>4</v>
      </c>
    </row>
    <row r="36" spans="1:7" ht="15" thickTop="1">
      <c r="A36" s="57"/>
      <c r="B36" s="3" t="s">
        <v>0</v>
      </c>
      <c r="C36" s="8"/>
      <c r="D36" s="1"/>
      <c r="E36" s="8"/>
    </row>
    <row r="37" spans="1:7" ht="17.399999999999999">
      <c r="A37" s="57"/>
      <c r="B37" s="114" t="s">
        <v>44</v>
      </c>
      <c r="C37" s="10" t="s">
        <v>5</v>
      </c>
      <c r="D37" s="1">
        <v>26219</v>
      </c>
      <c r="E37" s="11">
        <f>D37/SUM($D$17:$D$19)</f>
        <v>0.65779372287312776</v>
      </c>
      <c r="G37" s="9" t="s">
        <v>12</v>
      </c>
    </row>
    <row r="38" spans="1:7" ht="17.399999999999999">
      <c r="A38" s="57"/>
      <c r="B38" s="12"/>
      <c r="C38" s="43" t="s">
        <v>6</v>
      </c>
      <c r="D38" s="44">
        <v>9751</v>
      </c>
      <c r="E38" s="45">
        <f>D38/SUM($D$17:$D$19)</f>
        <v>0.24463734664693043</v>
      </c>
      <c r="G38" s="9" t="s">
        <v>13</v>
      </c>
    </row>
    <row r="39" spans="1:7" ht="18" thickBot="1">
      <c r="A39" s="57"/>
      <c r="B39" s="13"/>
      <c r="C39" s="46" t="s">
        <v>7</v>
      </c>
      <c r="D39" s="47">
        <v>3889</v>
      </c>
      <c r="E39" s="48">
        <f>D39/SUM($D$17:$D$19)</f>
        <v>9.7568930479941793E-2</v>
      </c>
      <c r="G39" s="9" t="s">
        <v>14</v>
      </c>
    </row>
    <row r="40" spans="1:7">
      <c r="A40" s="1"/>
      <c r="B40" s="1"/>
      <c r="C40" s="1"/>
      <c r="D40" s="15">
        <f>SUM(D38:D39)</f>
        <v>13640</v>
      </c>
      <c r="E40" s="16">
        <f>SUM(E38:E39)</f>
        <v>0.34220627712687224</v>
      </c>
    </row>
    <row r="41" spans="1:7">
      <c r="D41">
        <f>D37+D38+D39</f>
        <v>39859</v>
      </c>
    </row>
    <row r="42" spans="1:7" ht="15" thickBot="1">
      <c r="A42" s="115"/>
      <c r="B42" s="2" t="s">
        <v>0</v>
      </c>
      <c r="C42" s="1"/>
      <c r="D42" s="1"/>
      <c r="E42" s="1"/>
    </row>
    <row r="43" spans="1:7">
      <c r="A43" s="115"/>
      <c r="B43" s="3" t="s">
        <v>1</v>
      </c>
      <c r="C43" s="4"/>
      <c r="D43" s="51" t="s">
        <v>2</v>
      </c>
      <c r="E43" s="52"/>
    </row>
    <row r="44" spans="1:7" ht="15" thickBot="1">
      <c r="A44" s="115"/>
      <c r="B44" s="5"/>
      <c r="C44" s="6"/>
      <c r="D44" s="7" t="s">
        <v>3</v>
      </c>
      <c r="E44" s="6" t="s">
        <v>4</v>
      </c>
    </row>
    <row r="45" spans="1:7" ht="15" thickTop="1">
      <c r="A45" s="115"/>
      <c r="B45" s="3" t="s">
        <v>0</v>
      </c>
      <c r="C45" s="8"/>
      <c r="D45" s="1"/>
      <c r="E45" s="8"/>
    </row>
    <row r="46" spans="1:7" ht="17.399999999999999">
      <c r="A46" s="115"/>
      <c r="B46" s="114" t="s">
        <v>45</v>
      </c>
      <c r="C46" s="10" t="s">
        <v>5</v>
      </c>
      <c r="D46" s="1">
        <v>18796</v>
      </c>
      <c r="E46" s="11">
        <f>D46/SUM($D$17:$D$19)</f>
        <v>0.47156225695576909</v>
      </c>
      <c r="G46" s="54" t="s">
        <v>81</v>
      </c>
    </row>
    <row r="47" spans="1:7" ht="17.399999999999999">
      <c r="A47" s="115"/>
      <c r="B47" s="12"/>
      <c r="C47" s="43" t="s">
        <v>6</v>
      </c>
      <c r="D47" s="44">
        <v>16600</v>
      </c>
      <c r="E47" s="45">
        <f>D47/SUM($D$17:$D$19)</f>
        <v>0.41646804987581226</v>
      </c>
      <c r="G47" s="9" t="s">
        <v>79</v>
      </c>
    </row>
    <row r="48" spans="1:7" ht="18" thickBot="1">
      <c r="A48" s="115"/>
      <c r="B48" s="13"/>
      <c r="C48" s="46" t="s">
        <v>7</v>
      </c>
      <c r="D48" s="47">
        <v>4463</v>
      </c>
      <c r="E48" s="48">
        <f>D48/SUM($D$17:$D$19)</f>
        <v>0.11196969316841868</v>
      </c>
      <c r="G48" s="9" t="s">
        <v>80</v>
      </c>
    </row>
    <row r="49" spans="1:5">
      <c r="A49" s="1"/>
      <c r="B49" s="1"/>
      <c r="C49" s="1"/>
      <c r="D49" s="15">
        <f>SUM(D47:D48)</f>
        <v>21063</v>
      </c>
      <c r="E49" s="16">
        <f>SUM(E47:E48)</f>
        <v>0.52843774304423097</v>
      </c>
    </row>
    <row r="50" spans="1:5">
      <c r="D50">
        <f>D46+D47+D48</f>
        <v>39859</v>
      </c>
    </row>
  </sheetData>
  <mergeCells count="2">
    <mergeCell ref="D24:E24"/>
    <mergeCell ref="D4:E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89"/>
  <sheetViews>
    <sheetView topLeftCell="A19" workbookViewId="0">
      <selection activeCell="B33" sqref="B33"/>
    </sheetView>
  </sheetViews>
  <sheetFormatPr defaultColWidth="9" defaultRowHeight="14.4"/>
  <cols>
    <col min="1" max="1" width="5.6640625" style="17" customWidth="1"/>
    <col min="2" max="2" width="2.33203125" style="63" customWidth="1"/>
    <col min="3" max="3" width="25.44140625" style="17" customWidth="1"/>
    <col min="4" max="4" width="10.88671875" style="63" customWidth="1"/>
    <col min="5" max="5" width="12.6640625" style="72" customWidth="1"/>
    <col min="6" max="8" width="12.6640625" style="17" customWidth="1"/>
    <col min="9" max="9" width="28" style="62" bestFit="1" customWidth="1"/>
    <col min="10" max="11" width="9" style="17"/>
    <col min="12" max="12" width="9" style="17" customWidth="1"/>
    <col min="13" max="13" width="11.77734375" style="17" customWidth="1"/>
    <col min="14" max="14" width="13.44140625" style="17" customWidth="1"/>
    <col min="15" max="15" width="10" style="17" customWidth="1"/>
    <col min="16" max="16" width="11.77734375" style="17" customWidth="1"/>
    <col min="17" max="17" width="7.109375" style="17" customWidth="1"/>
    <col min="18" max="19" width="6.33203125" style="17" customWidth="1"/>
    <col min="20" max="20" width="6.44140625" style="17" customWidth="1"/>
    <col min="21" max="21" width="6.33203125" style="17" customWidth="1"/>
    <col min="22" max="22" width="7.109375" style="17" customWidth="1"/>
    <col min="23" max="16384" width="9" style="17"/>
  </cols>
  <sheetData>
    <row r="2" spans="2:10" ht="16.95" customHeight="1">
      <c r="B2" s="60"/>
      <c r="C2" s="61"/>
      <c r="D2" s="60"/>
      <c r="E2" s="548" t="s">
        <v>77</v>
      </c>
      <c r="F2" s="548"/>
      <c r="G2" s="548"/>
      <c r="H2" s="548"/>
      <c r="I2" s="17"/>
    </row>
    <row r="3" spans="2:10" ht="16.95" customHeight="1">
      <c r="E3" s="64" t="s">
        <v>23</v>
      </c>
      <c r="F3" s="64" t="s">
        <v>6</v>
      </c>
      <c r="G3" s="64" t="s">
        <v>7</v>
      </c>
      <c r="H3" s="64" t="s">
        <v>47</v>
      </c>
      <c r="I3" s="17"/>
    </row>
    <row r="4" spans="2:10" ht="16.95" customHeight="1" thickBot="1">
      <c r="B4" s="65"/>
      <c r="C4" s="66"/>
      <c r="D4" s="66"/>
      <c r="E4" s="67" t="s">
        <v>48</v>
      </c>
      <c r="F4" s="66" t="s">
        <v>48</v>
      </c>
      <c r="G4" s="66" t="s">
        <v>48</v>
      </c>
      <c r="H4" s="66" t="s">
        <v>48</v>
      </c>
      <c r="I4" s="17"/>
    </row>
    <row r="5" spans="2:10" ht="17.100000000000001" customHeight="1" thickTop="1">
      <c r="B5" s="549" t="s">
        <v>49</v>
      </c>
      <c r="C5" s="550"/>
      <c r="D5" s="68"/>
      <c r="E5" s="69"/>
      <c r="F5" s="64"/>
      <c r="G5" s="64"/>
      <c r="H5" s="64"/>
      <c r="I5" s="17"/>
    </row>
    <row r="6" spans="2:10" ht="16.95" customHeight="1">
      <c r="C6" s="17" t="s">
        <v>50</v>
      </c>
      <c r="D6" s="70" t="s">
        <v>51</v>
      </c>
      <c r="E6" s="71" t="str">
        <f t="shared" ref="E6:H9" si="0">CONCATENATE(E54, "(", M54, ")")</f>
        <v>11985(48)</v>
      </c>
      <c r="F6" s="71" t="str">
        <f t="shared" si="0"/>
        <v>2865(59.2)</v>
      </c>
      <c r="G6" s="71" t="str">
        <f t="shared" si="0"/>
        <v>4834(57.1)</v>
      </c>
      <c r="H6" s="71" t="str">
        <f t="shared" si="0"/>
        <v>19684(51.4)</v>
      </c>
      <c r="I6" s="72"/>
      <c r="J6" s="72"/>
    </row>
    <row r="7" spans="2:10" ht="17.100000000000001" customHeight="1">
      <c r="D7" s="70" t="s">
        <v>52</v>
      </c>
      <c r="E7" s="71" t="str">
        <f t="shared" si="0"/>
        <v>12989(52)</v>
      </c>
      <c r="F7" s="71" t="str">
        <f t="shared" si="0"/>
        <v>1976(40.8)</v>
      </c>
      <c r="G7" s="71" t="str">
        <f t="shared" si="0"/>
        <v>3632(42.9)</v>
      </c>
      <c r="H7" s="71" t="str">
        <f t="shared" si="0"/>
        <v>18597(48.6)</v>
      </c>
      <c r="I7" s="17"/>
    </row>
    <row r="8" spans="2:10" ht="16.95" customHeight="1">
      <c r="B8" s="73"/>
      <c r="C8" s="74" t="s">
        <v>53</v>
      </c>
      <c r="D8" s="29" t="s">
        <v>54</v>
      </c>
      <c r="E8" s="71" t="str">
        <f t="shared" si="0"/>
        <v>18161(72.7)</v>
      </c>
      <c r="F8" s="71" t="str">
        <f t="shared" si="0"/>
        <v>3822(79)</v>
      </c>
      <c r="G8" s="71" t="str">
        <f t="shared" si="0"/>
        <v>6864(81.1)</v>
      </c>
      <c r="H8" s="71" t="str">
        <f t="shared" si="0"/>
        <v>28847(75.4)</v>
      </c>
      <c r="I8" s="17"/>
    </row>
    <row r="9" spans="2:10" ht="16.95" customHeight="1">
      <c r="B9" s="73"/>
      <c r="C9" s="75"/>
      <c r="D9" s="76" t="s">
        <v>55</v>
      </c>
      <c r="E9" s="77" t="str">
        <f t="shared" si="0"/>
        <v>6813(27.3)</v>
      </c>
      <c r="F9" s="77" t="str">
        <f t="shared" si="0"/>
        <v>1019(21)</v>
      </c>
      <c r="G9" s="77" t="str">
        <f t="shared" si="0"/>
        <v>1602(18.9)</v>
      </c>
      <c r="H9" s="77" t="str">
        <f t="shared" si="0"/>
        <v>9434(24.6)</v>
      </c>
      <c r="I9" s="17"/>
    </row>
    <row r="10" spans="2:10" ht="16.95" customHeight="1">
      <c r="B10" s="551" t="s">
        <v>56</v>
      </c>
      <c r="C10" s="547"/>
      <c r="D10" s="70"/>
      <c r="E10" s="71"/>
      <c r="F10" s="71"/>
      <c r="G10" s="71"/>
      <c r="H10" s="71"/>
      <c r="I10" s="17"/>
    </row>
    <row r="11" spans="2:10" ht="16.95" customHeight="1">
      <c r="C11" s="17" t="s">
        <v>57</v>
      </c>
      <c r="D11" s="70" t="s">
        <v>58</v>
      </c>
      <c r="E11" s="71" t="str">
        <f t="shared" ref="E11:H16" si="1">CONCATENATE(E59, "(", M59, ")")</f>
        <v>13904(55.7)</v>
      </c>
      <c r="F11" s="71" t="str">
        <f t="shared" si="1"/>
        <v>2440(50.4)</v>
      </c>
      <c r="G11" s="71" t="str">
        <f t="shared" si="1"/>
        <v>4025(47.5)</v>
      </c>
      <c r="H11" s="71" t="str">
        <f t="shared" si="1"/>
        <v>20369(53.2)</v>
      </c>
      <c r="I11" s="17"/>
    </row>
    <row r="12" spans="2:10" ht="16.95" customHeight="1">
      <c r="C12" s="59"/>
      <c r="D12" s="70" t="s">
        <v>59</v>
      </c>
      <c r="E12" s="71" t="str">
        <f t="shared" si="1"/>
        <v>11070(44.3)</v>
      </c>
      <c r="F12" s="71" t="str">
        <f t="shared" si="1"/>
        <v>2401(49.6)</v>
      </c>
      <c r="G12" s="71" t="str">
        <f t="shared" si="1"/>
        <v>4441(52.5)</v>
      </c>
      <c r="H12" s="71" t="str">
        <f t="shared" si="1"/>
        <v>17912(46.8)</v>
      </c>
      <c r="I12" s="17"/>
    </row>
    <row r="13" spans="2:10" s="27" customFormat="1" ht="16.95" customHeight="1">
      <c r="B13" s="73"/>
      <c r="C13" s="21" t="s">
        <v>60</v>
      </c>
      <c r="D13" s="29" t="s">
        <v>61</v>
      </c>
      <c r="E13" s="71" t="str">
        <f t="shared" si="1"/>
        <v>20976(84)</v>
      </c>
      <c r="F13" s="71" t="str">
        <f t="shared" si="1"/>
        <v>3963(81.9)</v>
      </c>
      <c r="G13" s="71" t="str">
        <f t="shared" si="1"/>
        <v>7235(85.5)</v>
      </c>
      <c r="H13" s="71" t="str">
        <f t="shared" si="1"/>
        <v>32174(84)</v>
      </c>
    </row>
    <row r="14" spans="2:10" s="27" customFormat="1" ht="16.95" customHeight="1">
      <c r="B14" s="73"/>
      <c r="C14" s="21"/>
      <c r="D14" s="29" t="s">
        <v>62</v>
      </c>
      <c r="E14" s="71" t="str">
        <f t="shared" si="1"/>
        <v>3998(16)</v>
      </c>
      <c r="F14" s="71" t="str">
        <f t="shared" si="1"/>
        <v>878(18.1)</v>
      </c>
      <c r="G14" s="71" t="str">
        <f t="shared" si="1"/>
        <v>1231(14.5)</v>
      </c>
      <c r="H14" s="71" t="str">
        <f t="shared" si="1"/>
        <v>6107(16)</v>
      </c>
    </row>
    <row r="15" spans="2:10" ht="16.95" customHeight="1">
      <c r="C15" s="17" t="s">
        <v>63</v>
      </c>
      <c r="D15" s="70" t="s">
        <v>23</v>
      </c>
      <c r="E15" s="71" t="str">
        <f t="shared" si="1"/>
        <v>10380(41.6)</v>
      </c>
      <c r="F15" s="71" t="str">
        <f t="shared" si="1"/>
        <v>1885(38.9)</v>
      </c>
      <c r="G15" s="71" t="str">
        <f t="shared" si="1"/>
        <v>3020(35.7)</v>
      </c>
      <c r="H15" s="71" t="str">
        <f t="shared" si="1"/>
        <v>15285(39.9)</v>
      </c>
      <c r="I15" s="17"/>
    </row>
    <row r="16" spans="2:10" ht="16.95" customHeight="1">
      <c r="D16" s="79" t="s">
        <v>64</v>
      </c>
      <c r="E16" s="77" t="str">
        <f t="shared" si="1"/>
        <v>14594(58.4)</v>
      </c>
      <c r="F16" s="77" t="str">
        <f t="shared" si="1"/>
        <v>2956(61.1)</v>
      </c>
      <c r="G16" s="77" t="str">
        <f t="shared" si="1"/>
        <v>5446(64.3)</v>
      </c>
      <c r="H16" s="77" t="str">
        <f t="shared" si="1"/>
        <v>22996(60.1)</v>
      </c>
      <c r="I16" s="17"/>
    </row>
    <row r="17" spans="2:12" ht="16.95" customHeight="1">
      <c r="B17" s="551" t="s">
        <v>65</v>
      </c>
      <c r="C17" s="552"/>
      <c r="D17" s="70"/>
      <c r="E17" s="71"/>
      <c r="F17" s="71"/>
      <c r="G17" s="71"/>
      <c r="H17" s="71"/>
    </row>
    <row r="18" spans="2:12" ht="16.95" customHeight="1">
      <c r="C18" s="80" t="s">
        <v>66</v>
      </c>
      <c r="D18" s="70" t="s">
        <v>23</v>
      </c>
      <c r="E18" s="71" t="str">
        <f>CONCATENATE(E66, "(", M66, ")")</f>
        <v>23262(93.1)</v>
      </c>
      <c r="F18" s="71" t="str">
        <f>CONCATENATE(F66, "(", N66, ")")</f>
        <v>4559(94.2)</v>
      </c>
      <c r="G18" s="71" t="str">
        <f>CONCATENATE(G66, "(", O66, ")")</f>
        <v>8100(95.7)</v>
      </c>
      <c r="H18" s="71" t="str">
        <f>CONCATENATE(H66, "(", P66, ")")</f>
        <v>35921(93.8)</v>
      </c>
    </row>
    <row r="19" spans="2:12" ht="16.95" customHeight="1">
      <c r="D19" s="70" t="s">
        <v>64</v>
      </c>
      <c r="E19" s="71" t="str">
        <f>CONCATENATE(E67, "(", M67, ")")</f>
        <v>1712(6.9)</v>
      </c>
      <c r="F19" s="71" t="str">
        <f t="shared" ref="F19:H23" si="2">CONCATENATE(F67, "(", N67, ")")</f>
        <v>282(5.8)</v>
      </c>
      <c r="G19" s="71" t="str">
        <f t="shared" si="2"/>
        <v>366(4.3)</v>
      </c>
      <c r="H19" s="71" t="str">
        <f t="shared" si="2"/>
        <v>2360(6.2)</v>
      </c>
    </row>
    <row r="20" spans="2:12" ht="16.95" customHeight="1">
      <c r="C20" s="21" t="s">
        <v>75</v>
      </c>
      <c r="D20" s="70" t="s">
        <v>23</v>
      </c>
      <c r="E20" s="71" t="str">
        <f t="shared" ref="E20:E23" si="3">CONCATENATE(E68, "(", M68, ")")</f>
        <v>9282(37.2)</v>
      </c>
      <c r="F20" s="71" t="str">
        <f t="shared" si="2"/>
        <v>1798(37.1)</v>
      </c>
      <c r="G20" s="71" t="str">
        <f t="shared" si="2"/>
        <v>2678(31.6)</v>
      </c>
      <c r="H20" s="71" t="str">
        <f t="shared" si="2"/>
        <v>13758(35.9)</v>
      </c>
    </row>
    <row r="21" spans="2:12" ht="16.95" customHeight="1">
      <c r="C21" s="21"/>
      <c r="D21" s="70" t="s">
        <v>64</v>
      </c>
      <c r="E21" s="71" t="str">
        <f t="shared" si="3"/>
        <v>15692(62.8)</v>
      </c>
      <c r="F21" s="71" t="str">
        <f t="shared" si="2"/>
        <v>3043(62.9)</v>
      </c>
      <c r="G21" s="71" t="str">
        <f t="shared" si="2"/>
        <v>5788(68.4)</v>
      </c>
      <c r="H21" s="71" t="str">
        <f t="shared" si="2"/>
        <v>24523(64.1)</v>
      </c>
    </row>
    <row r="22" spans="2:12" ht="16.95" customHeight="1">
      <c r="C22" s="21" t="s">
        <v>76</v>
      </c>
      <c r="D22" s="70" t="s">
        <v>23</v>
      </c>
      <c r="E22" s="71" t="str">
        <f t="shared" si="3"/>
        <v>11022(44.1)</v>
      </c>
      <c r="F22" s="71" t="str">
        <f t="shared" si="2"/>
        <v>2657(54.9)</v>
      </c>
      <c r="G22" s="71" t="str">
        <f t="shared" si="2"/>
        <v>4745(56)</v>
      </c>
      <c r="H22" s="71" t="str">
        <f t="shared" si="2"/>
        <v>18424(48.1)</v>
      </c>
    </row>
    <row r="23" spans="2:12" ht="16.95" customHeight="1">
      <c r="C23" s="21"/>
      <c r="D23" s="70" t="s">
        <v>64</v>
      </c>
      <c r="E23" s="71" t="str">
        <f t="shared" si="3"/>
        <v>13952(55.9)</v>
      </c>
      <c r="F23" s="71" t="str">
        <f t="shared" si="2"/>
        <v>2184(45.1)</v>
      </c>
      <c r="G23" s="71" t="str">
        <f t="shared" si="2"/>
        <v>3721(44)</v>
      </c>
      <c r="H23" s="71" t="str">
        <f t="shared" si="2"/>
        <v>19857(51.9)</v>
      </c>
    </row>
    <row r="24" spans="2:12" ht="16.95" customHeight="1">
      <c r="C24" s="80" t="s">
        <v>67</v>
      </c>
      <c r="D24" s="70" t="s">
        <v>23</v>
      </c>
      <c r="E24" s="71" t="str">
        <f t="shared" ref="E24:H25" si="4">CONCATENATE(E72, "(", M72, ")")</f>
        <v>9475(37.9)</v>
      </c>
      <c r="F24" s="71" t="str">
        <f t="shared" si="4"/>
        <v>1922(39.7)</v>
      </c>
      <c r="G24" s="71" t="str">
        <f t="shared" si="4"/>
        <v>3043(35.9)</v>
      </c>
      <c r="H24" s="71" t="str">
        <f t="shared" si="4"/>
        <v>14440(37.7)</v>
      </c>
    </row>
    <row r="25" spans="2:12" ht="16.95" customHeight="1">
      <c r="D25" s="70" t="s">
        <v>64</v>
      </c>
      <c r="E25" s="71" t="str">
        <f t="shared" si="4"/>
        <v>15499(62.1)</v>
      </c>
      <c r="F25" s="71" t="str">
        <f t="shared" si="4"/>
        <v>2919(60.3)</v>
      </c>
      <c r="G25" s="71" t="str">
        <f t="shared" si="4"/>
        <v>5423(64.1)</v>
      </c>
      <c r="H25" s="71" t="str">
        <f t="shared" si="4"/>
        <v>23841(62.3)</v>
      </c>
    </row>
    <row r="26" spans="2:12" ht="16.95" customHeight="1">
      <c r="C26" s="81" t="s">
        <v>68</v>
      </c>
      <c r="D26" s="82">
        <v>0</v>
      </c>
      <c r="E26" s="71" t="str">
        <f t="shared" ref="E26:H41" si="5">CONCATENATE(E74, "(", M74, ")")</f>
        <v>9681(38.8)</v>
      </c>
      <c r="F26" s="71" t="str">
        <f t="shared" si="5"/>
        <v>2209(45.6)</v>
      </c>
      <c r="G26" s="71" t="str">
        <f t="shared" si="5"/>
        <v>3803(44.9)</v>
      </c>
      <c r="H26" s="71" t="str">
        <f t="shared" si="5"/>
        <v>15693(41)</v>
      </c>
    </row>
    <row r="27" spans="2:12" ht="16.95" customHeight="1">
      <c r="C27" s="83"/>
      <c r="D27" s="82">
        <v>1</v>
      </c>
      <c r="E27" s="71" t="str">
        <f t="shared" si="5"/>
        <v>7440(29.8)</v>
      </c>
      <c r="F27" s="71" t="str">
        <f t="shared" si="5"/>
        <v>1381(28.5)</v>
      </c>
      <c r="G27" s="71" t="str">
        <f t="shared" si="5"/>
        <v>2477(29.3)</v>
      </c>
      <c r="H27" s="71" t="str">
        <f t="shared" si="5"/>
        <v>11298(29.5)</v>
      </c>
    </row>
    <row r="28" spans="2:12" ht="16.95" customHeight="1">
      <c r="D28" s="82">
        <v>2</v>
      </c>
      <c r="E28" s="71" t="str">
        <f t="shared" si="5"/>
        <v>4462(17.9)</v>
      </c>
      <c r="F28" s="71" t="str">
        <f t="shared" si="5"/>
        <v>667(13.8)</v>
      </c>
      <c r="G28" s="71" t="str">
        <f t="shared" si="5"/>
        <v>1271(15)</v>
      </c>
      <c r="H28" s="71" t="str">
        <f t="shared" si="5"/>
        <v>6400(16.7)</v>
      </c>
    </row>
    <row r="29" spans="2:12" ht="16.95" customHeight="1">
      <c r="D29" s="82" t="s">
        <v>69</v>
      </c>
      <c r="E29" s="71" t="str">
        <f t="shared" si="5"/>
        <v>3391(13.6)</v>
      </c>
      <c r="F29" s="71" t="str">
        <f t="shared" si="5"/>
        <v>584(12.1)</v>
      </c>
      <c r="G29" s="71" t="str">
        <f t="shared" si="5"/>
        <v>915(10.8)</v>
      </c>
      <c r="H29" s="71" t="str">
        <f t="shared" si="5"/>
        <v>4890(12.8)</v>
      </c>
    </row>
    <row r="30" spans="2:12" ht="16.95" customHeight="1">
      <c r="C30" s="17" t="s">
        <v>70</v>
      </c>
      <c r="D30" s="82" t="s">
        <v>71</v>
      </c>
      <c r="E30" s="71" t="str">
        <f t="shared" si="5"/>
        <v>1036(4.1)</v>
      </c>
      <c r="F30" s="71" t="str">
        <f t="shared" si="5"/>
        <v>202(4.2)</v>
      </c>
      <c r="G30" s="71" t="str">
        <f t="shared" si="5"/>
        <v>268(3.2)</v>
      </c>
      <c r="H30" s="71" t="str">
        <f t="shared" si="5"/>
        <v>1506(3.9)</v>
      </c>
      <c r="L30" s="84"/>
    </row>
    <row r="31" spans="2:12" ht="16.95" customHeight="1">
      <c r="B31" s="85"/>
      <c r="C31" s="86"/>
      <c r="D31" s="87" t="s">
        <v>72</v>
      </c>
      <c r="E31" s="77" t="str">
        <f t="shared" si="5"/>
        <v>23938(95.9)</v>
      </c>
      <c r="F31" s="77" t="str">
        <f t="shared" si="5"/>
        <v>4639(95.8)</v>
      </c>
      <c r="G31" s="77" t="str">
        <f t="shared" si="5"/>
        <v>8198(96.8)</v>
      </c>
      <c r="H31" s="77" t="str">
        <f t="shared" si="5"/>
        <v>36775(96.1)</v>
      </c>
    </row>
    <row r="32" spans="2:12" ht="16.95" customHeight="1">
      <c r="B32" s="546" t="s">
        <v>78</v>
      </c>
      <c r="C32" s="547"/>
      <c r="D32" s="82"/>
      <c r="E32" s="71"/>
      <c r="F32" s="71"/>
      <c r="G32" s="71"/>
      <c r="H32" s="71"/>
    </row>
    <row r="33" spans="2:9" ht="16.95" customHeight="1">
      <c r="C33" s="17" t="s">
        <v>26</v>
      </c>
      <c r="D33" s="70" t="s">
        <v>23</v>
      </c>
      <c r="E33" s="71" t="str">
        <f t="shared" si="5"/>
        <v>6668(26.7)</v>
      </c>
      <c r="F33" s="71" t="str">
        <f t="shared" si="5"/>
        <v>1654(34.2)</v>
      </c>
      <c r="G33" s="71" t="str">
        <f t="shared" si="5"/>
        <v>2687(31.7)</v>
      </c>
      <c r="H33" s="71" t="str">
        <f t="shared" si="5"/>
        <v>11009(28.8)</v>
      </c>
    </row>
    <row r="34" spans="2:9" ht="16.95" customHeight="1">
      <c r="D34" s="70" t="s">
        <v>27</v>
      </c>
      <c r="E34" s="71" t="str">
        <f t="shared" si="5"/>
        <v>8426(33.7)</v>
      </c>
      <c r="F34" s="71" t="str">
        <f t="shared" si="5"/>
        <v>1670(34.5)</v>
      </c>
      <c r="G34" s="71" t="str">
        <f t="shared" si="5"/>
        <v>2959(35)</v>
      </c>
      <c r="H34" s="71" t="str">
        <f t="shared" si="5"/>
        <v>13055(34.1)</v>
      </c>
    </row>
    <row r="35" spans="2:9" ht="16.95" customHeight="1">
      <c r="D35" s="70" t="s">
        <v>10</v>
      </c>
      <c r="E35" s="71" t="str">
        <f t="shared" si="5"/>
        <v>9880(39.6)</v>
      </c>
      <c r="F35" s="71" t="str">
        <f t="shared" si="5"/>
        <v>1517(31.3)</v>
      </c>
      <c r="G35" s="71" t="str">
        <f t="shared" si="5"/>
        <v>2820(33.3)</v>
      </c>
      <c r="H35" s="71" t="str">
        <f t="shared" si="5"/>
        <v>14217(37.1)</v>
      </c>
    </row>
    <row r="36" spans="2:9" ht="16.95" customHeight="1">
      <c r="C36" s="17" t="s">
        <v>28</v>
      </c>
      <c r="D36" s="82" t="s">
        <v>23</v>
      </c>
      <c r="E36" s="71" t="str">
        <f t="shared" si="5"/>
        <v>12536(50.2)</v>
      </c>
      <c r="F36" s="71" t="str">
        <f t="shared" si="5"/>
        <v>2758(57)</v>
      </c>
      <c r="G36" s="71" t="str">
        <f t="shared" si="5"/>
        <v>4773(56.4)</v>
      </c>
      <c r="H36" s="71" t="str">
        <f t="shared" si="5"/>
        <v>20067(52.4)</v>
      </c>
    </row>
    <row r="37" spans="2:9" ht="16.95" customHeight="1">
      <c r="D37" s="82" t="s">
        <v>27</v>
      </c>
      <c r="E37" s="71" t="str">
        <f t="shared" si="5"/>
        <v>8318(33.3)</v>
      </c>
      <c r="F37" s="71" t="str">
        <f t="shared" si="5"/>
        <v>1410(29.1)</v>
      </c>
      <c r="G37" s="71" t="str">
        <f t="shared" si="5"/>
        <v>2496(29.5)</v>
      </c>
      <c r="H37" s="71" t="str">
        <f t="shared" si="5"/>
        <v>12224(31.9)</v>
      </c>
    </row>
    <row r="38" spans="2:9" ht="16.95" customHeight="1">
      <c r="D38" s="82" t="s">
        <v>10</v>
      </c>
      <c r="E38" s="71" t="str">
        <f t="shared" si="5"/>
        <v>4120(16.5)</v>
      </c>
      <c r="F38" s="71" t="str">
        <f t="shared" si="5"/>
        <v>673(13.9)</v>
      </c>
      <c r="G38" s="71" t="str">
        <f t="shared" si="5"/>
        <v>1197(14.1)</v>
      </c>
      <c r="H38" s="71" t="str">
        <f t="shared" si="5"/>
        <v>5990(15.6)</v>
      </c>
    </row>
    <row r="39" spans="2:9" ht="16.95" customHeight="1">
      <c r="C39" s="17" t="s">
        <v>29</v>
      </c>
      <c r="D39" s="82" t="s">
        <v>23</v>
      </c>
      <c r="E39" s="71" t="str">
        <f t="shared" si="5"/>
        <v>16788(67.2)</v>
      </c>
      <c r="F39" s="71" t="str">
        <f t="shared" si="5"/>
        <v>3449(71.2)</v>
      </c>
      <c r="G39" s="71" t="str">
        <f t="shared" si="5"/>
        <v>5832(68.9)</v>
      </c>
      <c r="H39" s="71" t="str">
        <f t="shared" si="5"/>
        <v>26069(68.1)</v>
      </c>
    </row>
    <row r="40" spans="2:9" ht="16.95" customHeight="1">
      <c r="D40" s="82" t="s">
        <v>27</v>
      </c>
      <c r="E40" s="71" t="str">
        <f t="shared" si="5"/>
        <v>6420(25.7)</v>
      </c>
      <c r="F40" s="71" t="str">
        <f t="shared" si="5"/>
        <v>1097(22.7)</v>
      </c>
      <c r="G40" s="71" t="str">
        <f t="shared" si="5"/>
        <v>2056(24.3)</v>
      </c>
      <c r="H40" s="71" t="str">
        <f t="shared" si="5"/>
        <v>9573(25)</v>
      </c>
    </row>
    <row r="41" spans="2:9" ht="16.5" customHeight="1">
      <c r="B41" s="88"/>
      <c r="C41" s="86"/>
      <c r="D41" s="89" t="s">
        <v>10</v>
      </c>
      <c r="E41" s="90" t="str">
        <f t="shared" si="5"/>
        <v>1766(7.1)</v>
      </c>
      <c r="F41" s="90" t="str">
        <f t="shared" si="5"/>
        <v>295(6.1)</v>
      </c>
      <c r="G41" s="90" t="str">
        <f t="shared" si="5"/>
        <v>578(6.8)</v>
      </c>
      <c r="H41" s="90" t="str">
        <f t="shared" si="5"/>
        <v>2639(6.9)</v>
      </c>
    </row>
    <row r="42" spans="2:9" ht="16.95" hidden="1" customHeight="1">
      <c r="B42" s="91"/>
      <c r="C42" s="92"/>
      <c r="D42" s="91"/>
      <c r="E42" s="90" t="e">
        <f>CONCATENATE(#REF!,"(",#REF!,")")</f>
        <v>#REF!</v>
      </c>
      <c r="F42" s="90" t="e">
        <f>CONCATENATE(#REF!,"(",#REF!,")")</f>
        <v>#REF!</v>
      </c>
      <c r="G42" s="90" t="e">
        <f>CONCATENATE(#REF!,"(",#REF!,")")</f>
        <v>#REF!</v>
      </c>
      <c r="H42" s="90" t="e">
        <f>CONCATENATE(#REF!,"(",#REF!,")")</f>
        <v>#REF!</v>
      </c>
    </row>
    <row r="43" spans="2:9" s="34" customFormat="1" ht="16.95" customHeight="1">
      <c r="B43" s="93" t="s">
        <v>74</v>
      </c>
      <c r="C43" s="94"/>
      <c r="D43" s="94"/>
      <c r="E43" s="95"/>
      <c r="F43" s="95"/>
      <c r="G43" s="95"/>
      <c r="H43" s="95"/>
      <c r="I43" s="96"/>
    </row>
    <row r="44" spans="2:9" s="63" customFormat="1" ht="16.95" customHeight="1">
      <c r="B44" s="97"/>
      <c r="C44" s="83"/>
      <c r="D44" s="83"/>
      <c r="E44" s="83"/>
      <c r="F44" s="83"/>
      <c r="G44" s="83"/>
      <c r="H44" s="83"/>
      <c r="I44" s="98"/>
    </row>
    <row r="45" spans="2:9" ht="16.95" customHeight="1">
      <c r="E45" s="78"/>
    </row>
    <row r="46" spans="2:9" ht="16.95" customHeight="1">
      <c r="E46" s="78"/>
    </row>
    <row r="47" spans="2:9" ht="16.95" customHeight="1"/>
    <row r="49" spans="2:16">
      <c r="D49" s="17"/>
      <c r="E49" s="17"/>
      <c r="F49" s="62"/>
      <c r="I49" s="17"/>
    </row>
    <row r="50" spans="2:16">
      <c r="B50" s="60"/>
      <c r="C50" s="61"/>
      <c r="D50" s="60"/>
      <c r="E50" s="548" t="s">
        <v>46</v>
      </c>
      <c r="F50" s="548"/>
      <c r="G50" s="548"/>
      <c r="H50" s="548"/>
      <c r="I50" s="17"/>
      <c r="J50" s="60"/>
      <c r="K50" s="61"/>
      <c r="L50" s="60"/>
      <c r="M50" s="548" t="s">
        <v>46</v>
      </c>
      <c r="N50" s="548"/>
      <c r="O50" s="548"/>
      <c r="P50" s="548"/>
    </row>
    <row r="51" spans="2:16" ht="13.8">
      <c r="E51" s="64" t="s">
        <v>23</v>
      </c>
      <c r="F51" s="64" t="s">
        <v>6</v>
      </c>
      <c r="G51" s="64" t="s">
        <v>7</v>
      </c>
      <c r="H51" s="64" t="s">
        <v>47</v>
      </c>
      <c r="I51" s="17"/>
      <c r="J51" s="63"/>
      <c r="L51" s="63"/>
      <c r="M51" s="64" t="s">
        <v>23</v>
      </c>
      <c r="N51" s="64" t="s">
        <v>6</v>
      </c>
      <c r="O51" s="64" t="s">
        <v>7</v>
      </c>
      <c r="P51" s="64" t="s">
        <v>47</v>
      </c>
    </row>
    <row r="52" spans="2:16" ht="15" thickBot="1">
      <c r="B52" s="65"/>
      <c r="C52" s="66"/>
      <c r="D52" s="66"/>
      <c r="E52" s="67" t="s">
        <v>48</v>
      </c>
      <c r="F52" s="66" t="s">
        <v>48</v>
      </c>
      <c r="G52" s="66" t="s">
        <v>48</v>
      </c>
      <c r="H52" s="66" t="s">
        <v>48</v>
      </c>
      <c r="J52" s="65"/>
      <c r="K52" s="66"/>
      <c r="L52" s="66"/>
      <c r="M52" s="67" t="s">
        <v>48</v>
      </c>
      <c r="N52" s="66" t="s">
        <v>48</v>
      </c>
      <c r="O52" s="66" t="s">
        <v>48</v>
      </c>
      <c r="P52" s="66" t="s">
        <v>48</v>
      </c>
    </row>
    <row r="53" spans="2:16" ht="15" thickTop="1">
      <c r="B53" s="549" t="s">
        <v>49</v>
      </c>
      <c r="C53" s="550"/>
      <c r="D53" s="68"/>
      <c r="E53" s="69"/>
      <c r="F53" s="64"/>
      <c r="G53" s="64"/>
      <c r="H53" s="64"/>
      <c r="J53" s="549" t="s">
        <v>49</v>
      </c>
      <c r="K53" s="550"/>
      <c r="L53" s="68"/>
      <c r="M53" s="69"/>
      <c r="N53" s="64"/>
      <c r="O53" s="64"/>
      <c r="P53" s="64"/>
    </row>
    <row r="54" spans="2:16">
      <c r="C54" s="17" t="s">
        <v>50</v>
      </c>
      <c r="D54" s="70" t="s">
        <v>51</v>
      </c>
      <c r="E54" s="71">
        <v>11985</v>
      </c>
      <c r="F54" s="71">
        <v>2865</v>
      </c>
      <c r="G54" s="71">
        <v>4834</v>
      </c>
      <c r="H54" s="71">
        <f>SUM($E54:$G54)</f>
        <v>19684</v>
      </c>
      <c r="J54" s="63"/>
      <c r="K54" s="17" t="s">
        <v>50</v>
      </c>
      <c r="L54" s="70" t="s">
        <v>51</v>
      </c>
      <c r="M54" s="99">
        <f t="shared" ref="M54:O55" si="6">ROUND(E54/SUM(E$54:E$55) *100, 1)</f>
        <v>48</v>
      </c>
      <c r="N54" s="99">
        <f t="shared" si="6"/>
        <v>59.2</v>
      </c>
      <c r="O54" s="99">
        <f t="shared" si="6"/>
        <v>57.1</v>
      </c>
      <c r="P54" s="99">
        <f>ROUND(H54/38281 * 100,1)</f>
        <v>51.4</v>
      </c>
    </row>
    <row r="55" spans="2:16">
      <c r="D55" s="70" t="s">
        <v>52</v>
      </c>
      <c r="E55" s="71">
        <v>12989</v>
      </c>
      <c r="F55" s="71">
        <v>1976</v>
      </c>
      <c r="G55" s="71">
        <v>3632</v>
      </c>
      <c r="H55" s="71">
        <f t="shared" ref="H55:H89" si="7">SUM($E55:$G55)</f>
        <v>18597</v>
      </c>
      <c r="J55" s="63"/>
      <c r="L55" s="70" t="s">
        <v>52</v>
      </c>
      <c r="M55" s="99">
        <f t="shared" si="6"/>
        <v>52</v>
      </c>
      <c r="N55" s="99">
        <f t="shared" si="6"/>
        <v>40.799999999999997</v>
      </c>
      <c r="O55" s="99">
        <f t="shared" si="6"/>
        <v>42.9</v>
      </c>
      <c r="P55" s="99">
        <f t="shared" ref="P55:P89" si="8">ROUND(H55/38281 * 100,1)</f>
        <v>48.6</v>
      </c>
    </row>
    <row r="56" spans="2:16">
      <c r="B56" s="73"/>
      <c r="C56" s="74" t="s">
        <v>53</v>
      </c>
      <c r="D56" s="29" t="s">
        <v>54</v>
      </c>
      <c r="E56" s="100">
        <v>18161</v>
      </c>
      <c r="F56" s="100">
        <v>3822</v>
      </c>
      <c r="G56" s="100">
        <v>6864</v>
      </c>
      <c r="H56" s="71">
        <f t="shared" si="7"/>
        <v>28847</v>
      </c>
      <c r="J56" s="73"/>
      <c r="K56" s="74" t="s">
        <v>53</v>
      </c>
      <c r="L56" s="29" t="s">
        <v>54</v>
      </c>
      <c r="M56" s="101">
        <f t="shared" ref="M56:O57" si="9">ROUND(E56/SUM(E$56:E$57) * 100, 1)</f>
        <v>72.7</v>
      </c>
      <c r="N56" s="101">
        <f t="shared" si="9"/>
        <v>79</v>
      </c>
      <c r="O56" s="101">
        <f t="shared" si="9"/>
        <v>81.099999999999994</v>
      </c>
      <c r="P56" s="99">
        <f t="shared" si="8"/>
        <v>75.400000000000006</v>
      </c>
    </row>
    <row r="57" spans="2:16">
      <c r="B57" s="73"/>
      <c r="C57" s="74"/>
      <c r="D57" s="29" t="s">
        <v>55</v>
      </c>
      <c r="E57" s="100">
        <v>6813</v>
      </c>
      <c r="F57" s="100">
        <v>1019</v>
      </c>
      <c r="G57" s="100">
        <v>1602</v>
      </c>
      <c r="H57" s="71">
        <f t="shared" si="7"/>
        <v>9434</v>
      </c>
      <c r="J57" s="73"/>
      <c r="K57" s="74"/>
      <c r="L57" s="29" t="s">
        <v>55</v>
      </c>
      <c r="M57" s="101">
        <f t="shared" si="9"/>
        <v>27.3</v>
      </c>
      <c r="N57" s="101">
        <f t="shared" si="9"/>
        <v>21</v>
      </c>
      <c r="O57" s="101">
        <f t="shared" si="9"/>
        <v>18.899999999999999</v>
      </c>
      <c r="P57" s="99">
        <f t="shared" si="8"/>
        <v>24.6</v>
      </c>
    </row>
    <row r="58" spans="2:16">
      <c r="B58" s="551" t="s">
        <v>56</v>
      </c>
      <c r="C58" s="552"/>
      <c r="D58" s="102"/>
      <c r="E58" s="103"/>
      <c r="F58" s="103"/>
      <c r="G58" s="103"/>
      <c r="H58" s="71"/>
      <c r="J58" s="551" t="s">
        <v>56</v>
      </c>
      <c r="K58" s="552"/>
      <c r="L58" s="102"/>
      <c r="M58" s="103"/>
      <c r="N58" s="103"/>
      <c r="O58" s="103"/>
      <c r="P58" s="99"/>
    </row>
    <row r="59" spans="2:16">
      <c r="C59" s="17" t="s">
        <v>57</v>
      </c>
      <c r="D59" s="70" t="s">
        <v>58</v>
      </c>
      <c r="E59" s="71">
        <v>13904</v>
      </c>
      <c r="F59" s="71">
        <v>2440</v>
      </c>
      <c r="G59" s="71">
        <v>4025</v>
      </c>
      <c r="H59" s="71">
        <f t="shared" si="7"/>
        <v>20369</v>
      </c>
      <c r="J59" s="63"/>
      <c r="K59" s="17" t="s">
        <v>57</v>
      </c>
      <c r="L59" s="70" t="s">
        <v>58</v>
      </c>
      <c r="M59" s="101">
        <f t="shared" ref="M59:O60" si="10">ROUND(E59/SUM(E$59:E$60) * 100, 1)</f>
        <v>55.7</v>
      </c>
      <c r="N59" s="101">
        <f t="shared" si="10"/>
        <v>50.4</v>
      </c>
      <c r="O59" s="101">
        <f t="shared" si="10"/>
        <v>47.5</v>
      </c>
      <c r="P59" s="99">
        <f t="shared" si="8"/>
        <v>53.2</v>
      </c>
    </row>
    <row r="60" spans="2:16">
      <c r="C60" s="59"/>
      <c r="D60" s="70" t="s">
        <v>59</v>
      </c>
      <c r="E60" s="71">
        <v>11070</v>
      </c>
      <c r="F60" s="71">
        <v>2401</v>
      </c>
      <c r="G60" s="71">
        <v>4441</v>
      </c>
      <c r="H60" s="71">
        <f t="shared" si="7"/>
        <v>17912</v>
      </c>
      <c r="J60" s="63"/>
      <c r="K60" s="59"/>
      <c r="L60" s="70" t="s">
        <v>59</v>
      </c>
      <c r="M60" s="101">
        <f t="shared" si="10"/>
        <v>44.3</v>
      </c>
      <c r="N60" s="101">
        <f t="shared" si="10"/>
        <v>49.6</v>
      </c>
      <c r="O60" s="101">
        <f t="shared" si="10"/>
        <v>52.5</v>
      </c>
      <c r="P60" s="99">
        <f t="shared" si="8"/>
        <v>46.8</v>
      </c>
    </row>
    <row r="61" spans="2:16" ht="15.6">
      <c r="B61" s="73"/>
      <c r="C61" s="21" t="s">
        <v>60</v>
      </c>
      <c r="D61" s="29" t="s">
        <v>61</v>
      </c>
      <c r="E61" s="71">
        <v>20976</v>
      </c>
      <c r="F61" s="71">
        <v>3963</v>
      </c>
      <c r="G61" s="71">
        <v>7235</v>
      </c>
      <c r="H61" s="71">
        <f t="shared" si="7"/>
        <v>32174</v>
      </c>
      <c r="J61" s="73"/>
      <c r="K61" s="21" t="s">
        <v>60</v>
      </c>
      <c r="L61" s="29" t="s">
        <v>61</v>
      </c>
      <c r="M61" s="99">
        <f t="shared" ref="M61:O62" si="11">ROUND(E61/SUM(E$61:E$62) * 100, 1)</f>
        <v>84</v>
      </c>
      <c r="N61" s="99">
        <f t="shared" si="11"/>
        <v>81.900000000000006</v>
      </c>
      <c r="O61" s="99">
        <f t="shared" si="11"/>
        <v>85.5</v>
      </c>
      <c r="P61" s="99">
        <f t="shared" si="8"/>
        <v>84</v>
      </c>
    </row>
    <row r="62" spans="2:16">
      <c r="B62" s="73"/>
      <c r="C62" s="21"/>
      <c r="D62" s="29" t="s">
        <v>62</v>
      </c>
      <c r="E62" s="71">
        <v>3998</v>
      </c>
      <c r="F62" s="71">
        <v>878</v>
      </c>
      <c r="G62" s="71">
        <v>1231</v>
      </c>
      <c r="H62" s="71">
        <f t="shared" si="7"/>
        <v>6107</v>
      </c>
      <c r="J62" s="73"/>
      <c r="K62" s="21"/>
      <c r="L62" s="29" t="s">
        <v>62</v>
      </c>
      <c r="M62" s="99">
        <f t="shared" si="11"/>
        <v>16</v>
      </c>
      <c r="N62" s="99">
        <f t="shared" si="11"/>
        <v>18.100000000000001</v>
      </c>
      <c r="O62" s="99">
        <f t="shared" si="11"/>
        <v>14.5</v>
      </c>
      <c r="P62" s="99">
        <f t="shared" si="8"/>
        <v>16</v>
      </c>
    </row>
    <row r="63" spans="2:16">
      <c r="C63" s="17" t="s">
        <v>63</v>
      </c>
      <c r="D63" s="70" t="s">
        <v>23</v>
      </c>
      <c r="E63" s="71">
        <v>10380</v>
      </c>
      <c r="F63" s="71">
        <v>1885</v>
      </c>
      <c r="G63" s="71">
        <v>3020</v>
      </c>
      <c r="H63" s="71">
        <f t="shared" si="7"/>
        <v>15285</v>
      </c>
      <c r="J63" s="63"/>
      <c r="K63" s="17" t="s">
        <v>63</v>
      </c>
      <c r="L63" s="70" t="s">
        <v>23</v>
      </c>
      <c r="M63" s="99">
        <f t="shared" ref="M63:O64" si="12">ROUND(E63/SUM(E$63:E$64)*100,1)</f>
        <v>41.6</v>
      </c>
      <c r="N63" s="99">
        <f t="shared" si="12"/>
        <v>38.9</v>
      </c>
      <c r="O63" s="99">
        <f t="shared" si="12"/>
        <v>35.700000000000003</v>
      </c>
      <c r="P63" s="99">
        <f t="shared" si="8"/>
        <v>39.9</v>
      </c>
    </row>
    <row r="64" spans="2:16">
      <c r="D64" s="70" t="s">
        <v>64</v>
      </c>
      <c r="E64" s="71">
        <v>14594</v>
      </c>
      <c r="F64" s="71">
        <v>2956</v>
      </c>
      <c r="G64" s="71">
        <v>5446</v>
      </c>
      <c r="H64" s="71">
        <f t="shared" si="7"/>
        <v>22996</v>
      </c>
      <c r="J64" s="63"/>
      <c r="L64" s="70" t="s">
        <v>64</v>
      </c>
      <c r="M64" s="99">
        <f t="shared" si="12"/>
        <v>58.4</v>
      </c>
      <c r="N64" s="99">
        <f t="shared" si="12"/>
        <v>61.1</v>
      </c>
      <c r="O64" s="99">
        <f t="shared" si="12"/>
        <v>64.3</v>
      </c>
      <c r="P64" s="99">
        <f t="shared" si="8"/>
        <v>60.1</v>
      </c>
    </row>
    <row r="65" spans="2:16">
      <c r="B65" s="551" t="s">
        <v>65</v>
      </c>
      <c r="C65" s="552"/>
      <c r="D65" s="102"/>
      <c r="E65" s="103"/>
      <c r="F65" s="103"/>
      <c r="G65" s="103"/>
      <c r="H65" s="71"/>
      <c r="J65" s="551" t="s">
        <v>65</v>
      </c>
      <c r="K65" s="552"/>
      <c r="L65" s="102"/>
      <c r="M65" s="103"/>
      <c r="N65" s="103"/>
      <c r="O65" s="103"/>
      <c r="P65" s="99"/>
    </row>
    <row r="66" spans="2:16">
      <c r="C66" s="80" t="s">
        <v>66</v>
      </c>
      <c r="D66" s="70" t="s">
        <v>23</v>
      </c>
      <c r="E66" s="71">
        <v>23262</v>
      </c>
      <c r="F66" s="71">
        <v>4559</v>
      </c>
      <c r="G66" s="71">
        <v>8100</v>
      </c>
      <c r="H66" s="71">
        <f t="shared" si="7"/>
        <v>35921</v>
      </c>
      <c r="J66" s="63"/>
      <c r="K66" s="80" t="s">
        <v>66</v>
      </c>
      <c r="L66" s="70" t="s">
        <v>23</v>
      </c>
      <c r="M66" s="99">
        <f t="shared" ref="M66:O67" si="13">ROUND(E66/SUM(E$66:E$67)*100,1)</f>
        <v>93.1</v>
      </c>
      <c r="N66" s="99">
        <f t="shared" si="13"/>
        <v>94.2</v>
      </c>
      <c r="O66" s="99">
        <f t="shared" si="13"/>
        <v>95.7</v>
      </c>
      <c r="P66" s="99">
        <f t="shared" si="8"/>
        <v>93.8</v>
      </c>
    </row>
    <row r="67" spans="2:16">
      <c r="D67" s="70" t="s">
        <v>64</v>
      </c>
      <c r="E67" s="71">
        <v>1712</v>
      </c>
      <c r="F67" s="71">
        <v>282</v>
      </c>
      <c r="G67" s="71">
        <v>366</v>
      </c>
      <c r="H67" s="71">
        <f t="shared" si="7"/>
        <v>2360</v>
      </c>
      <c r="J67" s="63"/>
      <c r="L67" s="70" t="s">
        <v>64</v>
      </c>
      <c r="M67" s="99">
        <f t="shared" si="13"/>
        <v>6.9</v>
      </c>
      <c r="N67" s="99">
        <f t="shared" si="13"/>
        <v>5.8</v>
      </c>
      <c r="O67" s="99">
        <f t="shared" si="13"/>
        <v>4.3</v>
      </c>
      <c r="P67" s="99">
        <f t="shared" si="8"/>
        <v>6.2</v>
      </c>
    </row>
    <row r="68" spans="2:16">
      <c r="C68" s="21" t="s">
        <v>75</v>
      </c>
      <c r="D68" s="70" t="s">
        <v>23</v>
      </c>
      <c r="E68" s="71">
        <v>9282</v>
      </c>
      <c r="F68" s="71">
        <v>1798</v>
      </c>
      <c r="G68" s="71">
        <v>2678</v>
      </c>
      <c r="H68" s="71">
        <f t="shared" si="7"/>
        <v>13758</v>
      </c>
      <c r="J68" s="63"/>
      <c r="K68" s="21" t="s">
        <v>75</v>
      </c>
      <c r="L68" s="70" t="s">
        <v>23</v>
      </c>
      <c r="M68" s="99">
        <f>ROUND(E68/SUM(E$68:E$69)*100,1)</f>
        <v>37.200000000000003</v>
      </c>
      <c r="N68" s="99">
        <f t="shared" ref="N68:O69" si="14">ROUND(F68/SUM(F$68:F$69)*100,1)</f>
        <v>37.1</v>
      </c>
      <c r="O68" s="99">
        <f t="shared" si="14"/>
        <v>31.6</v>
      </c>
      <c r="P68" s="99">
        <f t="shared" si="8"/>
        <v>35.9</v>
      </c>
    </row>
    <row r="69" spans="2:16">
      <c r="C69" s="21"/>
      <c r="D69" s="70" t="s">
        <v>64</v>
      </c>
      <c r="E69" s="71">
        <v>15692</v>
      </c>
      <c r="F69" s="71">
        <v>3043</v>
      </c>
      <c r="G69" s="71">
        <v>5788</v>
      </c>
      <c r="H69" s="71">
        <f t="shared" si="7"/>
        <v>24523</v>
      </c>
      <c r="J69" s="63"/>
      <c r="K69" s="21"/>
      <c r="L69" s="70" t="s">
        <v>64</v>
      </c>
      <c r="M69" s="99">
        <f>ROUND(E69/SUM(E$68:E$69)*100,1)</f>
        <v>62.8</v>
      </c>
      <c r="N69" s="99">
        <f t="shared" si="14"/>
        <v>62.9</v>
      </c>
      <c r="O69" s="99">
        <f t="shared" si="14"/>
        <v>68.400000000000006</v>
      </c>
      <c r="P69" s="99">
        <f t="shared" si="8"/>
        <v>64.099999999999994</v>
      </c>
    </row>
    <row r="70" spans="2:16">
      <c r="C70" s="21" t="s">
        <v>76</v>
      </c>
      <c r="D70" s="70" t="s">
        <v>23</v>
      </c>
      <c r="E70" s="71">
        <v>11022</v>
      </c>
      <c r="F70" s="71">
        <v>2657</v>
      </c>
      <c r="G70" s="71">
        <v>4745</v>
      </c>
      <c r="H70" s="71">
        <f t="shared" si="7"/>
        <v>18424</v>
      </c>
      <c r="J70" s="63"/>
      <c r="K70" s="21" t="s">
        <v>76</v>
      </c>
      <c r="L70" s="70" t="s">
        <v>23</v>
      </c>
      <c r="M70" s="99">
        <f>ROUND(E70/SUM(E$70:E$71)*100,1)</f>
        <v>44.1</v>
      </c>
      <c r="N70" s="99">
        <f t="shared" ref="N70:O71" si="15">ROUND(F70/SUM(F$70:F$71)*100,1)</f>
        <v>54.9</v>
      </c>
      <c r="O70" s="99">
        <f t="shared" si="15"/>
        <v>56</v>
      </c>
      <c r="P70" s="99">
        <f t="shared" si="8"/>
        <v>48.1</v>
      </c>
    </row>
    <row r="71" spans="2:16">
      <c r="C71" s="21"/>
      <c r="D71" s="70" t="s">
        <v>64</v>
      </c>
      <c r="E71" s="71">
        <v>13952</v>
      </c>
      <c r="F71" s="71">
        <v>2184</v>
      </c>
      <c r="G71" s="71">
        <v>3721</v>
      </c>
      <c r="H71" s="71">
        <f t="shared" si="7"/>
        <v>19857</v>
      </c>
      <c r="J71" s="63"/>
      <c r="K71" s="21"/>
      <c r="L71" s="70" t="s">
        <v>64</v>
      </c>
      <c r="M71" s="99">
        <f>ROUND(E71/SUM(E$70:E$71)*100,1)</f>
        <v>55.9</v>
      </c>
      <c r="N71" s="99">
        <f t="shared" si="15"/>
        <v>45.1</v>
      </c>
      <c r="O71" s="99">
        <f t="shared" si="15"/>
        <v>44</v>
      </c>
      <c r="P71" s="99">
        <f t="shared" si="8"/>
        <v>51.9</v>
      </c>
    </row>
    <row r="72" spans="2:16">
      <c r="C72" s="80" t="s">
        <v>67</v>
      </c>
      <c r="D72" s="70" t="s">
        <v>23</v>
      </c>
      <c r="E72" s="71">
        <v>9475</v>
      </c>
      <c r="F72" s="71">
        <v>1922</v>
      </c>
      <c r="G72" s="71">
        <v>3043</v>
      </c>
      <c r="H72" s="71">
        <f t="shared" si="7"/>
        <v>14440</v>
      </c>
      <c r="J72" s="63"/>
      <c r="K72" s="80" t="s">
        <v>67</v>
      </c>
      <c r="L72" s="70" t="s">
        <v>23</v>
      </c>
      <c r="M72" s="99">
        <f t="shared" ref="M72:O73" si="16">ROUND(E72/SUM(E$72:E$73)*100,1)</f>
        <v>37.9</v>
      </c>
      <c r="N72" s="99">
        <f t="shared" si="16"/>
        <v>39.700000000000003</v>
      </c>
      <c r="O72" s="99">
        <f t="shared" si="16"/>
        <v>35.9</v>
      </c>
      <c r="P72" s="99">
        <f t="shared" si="8"/>
        <v>37.700000000000003</v>
      </c>
    </row>
    <row r="73" spans="2:16">
      <c r="D73" s="70" t="s">
        <v>64</v>
      </c>
      <c r="E73" s="71">
        <v>15499</v>
      </c>
      <c r="F73" s="71">
        <v>2919</v>
      </c>
      <c r="G73" s="71">
        <v>5423</v>
      </c>
      <c r="H73" s="71">
        <f t="shared" si="7"/>
        <v>23841</v>
      </c>
      <c r="J73" s="63"/>
      <c r="L73" s="70" t="s">
        <v>64</v>
      </c>
      <c r="M73" s="99">
        <f t="shared" si="16"/>
        <v>62.1</v>
      </c>
      <c r="N73" s="99">
        <f t="shared" si="16"/>
        <v>60.3</v>
      </c>
      <c r="O73" s="99">
        <f t="shared" si="16"/>
        <v>64.099999999999994</v>
      </c>
      <c r="P73" s="99">
        <f t="shared" si="8"/>
        <v>62.3</v>
      </c>
    </row>
    <row r="74" spans="2:16" ht="15.6">
      <c r="C74" s="81" t="s">
        <v>68</v>
      </c>
      <c r="D74" s="82">
        <v>0</v>
      </c>
      <c r="E74" s="71">
        <v>9681</v>
      </c>
      <c r="F74" s="71">
        <v>2209</v>
      </c>
      <c r="G74" s="71">
        <v>3803</v>
      </c>
      <c r="H74" s="71">
        <f t="shared" si="7"/>
        <v>15693</v>
      </c>
      <c r="J74" s="63"/>
      <c r="K74" s="81" t="s">
        <v>68</v>
      </c>
      <c r="L74" s="82">
        <v>0</v>
      </c>
      <c r="M74" s="99">
        <f>ROUND(E74/SUM(E$74:E$77)*100,1)</f>
        <v>38.799999999999997</v>
      </c>
      <c r="N74" s="99">
        <f>ROUND(F74/SUM(F$74:F$77)*100,1)</f>
        <v>45.6</v>
      </c>
      <c r="O74" s="99">
        <f>ROUND(G74/SUM(G$74:G$77)*100,1)</f>
        <v>44.9</v>
      </c>
      <c r="P74" s="99">
        <f t="shared" si="8"/>
        <v>41</v>
      </c>
    </row>
    <row r="75" spans="2:16">
      <c r="C75" s="83"/>
      <c r="D75" s="82">
        <v>1</v>
      </c>
      <c r="E75" s="71">
        <v>7440</v>
      </c>
      <c r="F75" s="71">
        <v>1381</v>
      </c>
      <c r="G75" s="71">
        <v>2477</v>
      </c>
      <c r="H75" s="71">
        <f t="shared" si="7"/>
        <v>11298</v>
      </c>
      <c r="J75" s="63"/>
      <c r="K75" s="83"/>
      <c r="L75" s="82">
        <v>1</v>
      </c>
      <c r="M75" s="99">
        <f t="shared" ref="M75:O77" si="17">ROUND(E75/SUM(E$74:E$77)*100,1)</f>
        <v>29.8</v>
      </c>
      <c r="N75" s="99">
        <f t="shared" si="17"/>
        <v>28.5</v>
      </c>
      <c r="O75" s="99">
        <f t="shared" si="17"/>
        <v>29.3</v>
      </c>
      <c r="P75" s="99">
        <f t="shared" si="8"/>
        <v>29.5</v>
      </c>
    </row>
    <row r="76" spans="2:16">
      <c r="D76" s="82">
        <v>2</v>
      </c>
      <c r="E76" s="71">
        <v>4462</v>
      </c>
      <c r="F76" s="71">
        <v>667</v>
      </c>
      <c r="G76" s="71">
        <v>1271</v>
      </c>
      <c r="H76" s="71">
        <f t="shared" si="7"/>
        <v>6400</v>
      </c>
      <c r="J76" s="63"/>
      <c r="L76" s="82">
        <v>2</v>
      </c>
      <c r="M76" s="99">
        <f t="shared" si="17"/>
        <v>17.899999999999999</v>
      </c>
      <c r="N76" s="99">
        <f t="shared" si="17"/>
        <v>13.8</v>
      </c>
      <c r="O76" s="99">
        <f t="shared" si="17"/>
        <v>15</v>
      </c>
      <c r="P76" s="99">
        <f t="shared" si="8"/>
        <v>16.7</v>
      </c>
    </row>
    <row r="77" spans="2:16">
      <c r="D77" s="82" t="s">
        <v>69</v>
      </c>
      <c r="E77" s="71">
        <v>3391</v>
      </c>
      <c r="F77" s="71">
        <v>584</v>
      </c>
      <c r="G77" s="71">
        <v>915</v>
      </c>
      <c r="H77" s="71">
        <f t="shared" si="7"/>
        <v>4890</v>
      </c>
      <c r="J77" s="63"/>
      <c r="L77" s="82" t="s">
        <v>69</v>
      </c>
      <c r="M77" s="99">
        <f t="shared" si="17"/>
        <v>13.6</v>
      </c>
      <c r="N77" s="99">
        <f t="shared" si="17"/>
        <v>12.1</v>
      </c>
      <c r="O77" s="99">
        <f t="shared" si="17"/>
        <v>10.8</v>
      </c>
      <c r="P77" s="99">
        <f t="shared" si="8"/>
        <v>12.8</v>
      </c>
    </row>
    <row r="78" spans="2:16">
      <c r="C78" s="17" t="s">
        <v>70</v>
      </c>
      <c r="D78" s="82" t="s">
        <v>71</v>
      </c>
      <c r="E78" s="71">
        <v>1036</v>
      </c>
      <c r="F78" s="71">
        <v>202</v>
      </c>
      <c r="G78" s="71">
        <v>268</v>
      </c>
      <c r="H78" s="71">
        <f t="shared" si="7"/>
        <v>1506</v>
      </c>
      <c r="J78" s="63"/>
      <c r="K78" s="17" t="s">
        <v>70</v>
      </c>
      <c r="L78" s="82" t="s">
        <v>71</v>
      </c>
      <c r="M78" s="99">
        <f t="shared" ref="M78:O79" si="18">ROUND(E78/SUM(E$78:E$79) * 100, 1)</f>
        <v>4.0999999999999996</v>
      </c>
      <c r="N78" s="99">
        <f t="shared" si="18"/>
        <v>4.2</v>
      </c>
      <c r="O78" s="99">
        <f t="shared" si="18"/>
        <v>3.2</v>
      </c>
      <c r="P78" s="99">
        <f t="shared" si="8"/>
        <v>3.9</v>
      </c>
    </row>
    <row r="79" spans="2:16">
      <c r="B79" s="85"/>
      <c r="C79" s="86"/>
      <c r="D79" s="87" t="s">
        <v>72</v>
      </c>
      <c r="E79" s="77">
        <v>23938</v>
      </c>
      <c r="F79" s="77">
        <v>4639</v>
      </c>
      <c r="G79" s="77">
        <v>8198</v>
      </c>
      <c r="H79" s="71">
        <f t="shared" si="7"/>
        <v>36775</v>
      </c>
      <c r="J79" s="85"/>
      <c r="K79" s="86"/>
      <c r="L79" s="87" t="s">
        <v>72</v>
      </c>
      <c r="M79" s="99">
        <f t="shared" si="18"/>
        <v>95.9</v>
      </c>
      <c r="N79" s="99">
        <f t="shared" si="18"/>
        <v>95.8</v>
      </c>
      <c r="O79" s="99">
        <f t="shared" si="18"/>
        <v>96.8</v>
      </c>
      <c r="P79" s="99">
        <f t="shared" si="8"/>
        <v>96.1</v>
      </c>
    </row>
    <row r="80" spans="2:16">
      <c r="B80" s="546" t="s">
        <v>73</v>
      </c>
      <c r="C80" s="547"/>
      <c r="D80" s="82"/>
      <c r="E80" s="71"/>
      <c r="F80" s="71"/>
      <c r="G80" s="71"/>
      <c r="H80" s="71"/>
      <c r="J80" s="546" t="s">
        <v>73</v>
      </c>
      <c r="K80" s="547"/>
      <c r="L80" s="82"/>
      <c r="M80" s="71"/>
      <c r="N80" s="71"/>
      <c r="O80" s="71"/>
      <c r="P80" s="99"/>
    </row>
    <row r="81" spans="2:16">
      <c r="C81" s="17" t="s">
        <v>26</v>
      </c>
      <c r="D81" s="70" t="s">
        <v>23</v>
      </c>
      <c r="E81" s="71">
        <v>6668</v>
      </c>
      <c r="F81" s="71">
        <v>1654</v>
      </c>
      <c r="G81" s="71">
        <v>2687</v>
      </c>
      <c r="H81" s="71">
        <f t="shared" si="7"/>
        <v>11009</v>
      </c>
      <c r="J81" s="63"/>
      <c r="K81" s="17" t="s">
        <v>26</v>
      </c>
      <c r="L81" s="70" t="s">
        <v>23</v>
      </c>
      <c r="M81" s="99">
        <f>ROUND(E81/SUM(E$81:E$83)*100, 1)</f>
        <v>26.7</v>
      </c>
      <c r="N81" s="99">
        <f>ROUND(F81/SUM(F$81:F$83)*100, 1)</f>
        <v>34.200000000000003</v>
      </c>
      <c r="O81" s="99">
        <f>ROUND(G81/SUM(G$81:G$83)*100, 1)</f>
        <v>31.7</v>
      </c>
      <c r="P81" s="99">
        <f t="shared" si="8"/>
        <v>28.8</v>
      </c>
    </row>
    <row r="82" spans="2:16">
      <c r="D82" s="70" t="s">
        <v>27</v>
      </c>
      <c r="E82" s="71">
        <v>8426</v>
      </c>
      <c r="F82" s="71">
        <v>1670</v>
      </c>
      <c r="G82" s="71">
        <v>2959</v>
      </c>
      <c r="H82" s="71">
        <f t="shared" si="7"/>
        <v>13055</v>
      </c>
      <c r="J82" s="63"/>
      <c r="L82" s="70" t="s">
        <v>27</v>
      </c>
      <c r="M82" s="99">
        <f t="shared" ref="M82:O83" si="19">ROUND(E82/SUM(E$81:E$83)*100, 1)</f>
        <v>33.700000000000003</v>
      </c>
      <c r="N82" s="99">
        <f t="shared" si="19"/>
        <v>34.5</v>
      </c>
      <c r="O82" s="99">
        <f t="shared" si="19"/>
        <v>35</v>
      </c>
      <c r="P82" s="99">
        <f t="shared" si="8"/>
        <v>34.1</v>
      </c>
    </row>
    <row r="83" spans="2:16">
      <c r="D83" s="70" t="s">
        <v>10</v>
      </c>
      <c r="E83" s="71">
        <v>9880</v>
      </c>
      <c r="F83" s="71">
        <v>1517</v>
      </c>
      <c r="G83" s="71">
        <v>2820</v>
      </c>
      <c r="H83" s="71">
        <f t="shared" si="7"/>
        <v>14217</v>
      </c>
      <c r="J83" s="63"/>
      <c r="L83" s="70" t="s">
        <v>10</v>
      </c>
      <c r="M83" s="99">
        <f t="shared" si="19"/>
        <v>39.6</v>
      </c>
      <c r="N83" s="99">
        <f t="shared" si="19"/>
        <v>31.3</v>
      </c>
      <c r="O83" s="99">
        <f t="shared" si="19"/>
        <v>33.299999999999997</v>
      </c>
      <c r="P83" s="99">
        <f t="shared" si="8"/>
        <v>37.1</v>
      </c>
    </row>
    <row r="84" spans="2:16">
      <c r="C84" s="17" t="s">
        <v>28</v>
      </c>
      <c r="D84" s="82" t="s">
        <v>23</v>
      </c>
      <c r="E84" s="71">
        <v>12536</v>
      </c>
      <c r="F84" s="71">
        <v>2758</v>
      </c>
      <c r="G84" s="71">
        <v>4773</v>
      </c>
      <c r="H84" s="71">
        <f t="shared" si="7"/>
        <v>20067</v>
      </c>
      <c r="J84" s="63"/>
      <c r="K84" s="17" t="s">
        <v>28</v>
      </c>
      <c r="L84" s="82" t="s">
        <v>23</v>
      </c>
      <c r="M84" s="99">
        <f>ROUND(E84/SUM(E$84:E$86)*100,1)</f>
        <v>50.2</v>
      </c>
      <c r="N84" s="99">
        <f>ROUND(F84/SUM(F$84:F$86)*100,1)</f>
        <v>57</v>
      </c>
      <c r="O84" s="99">
        <f>ROUND(G84/SUM(G$84:G$86)*100,1)</f>
        <v>56.4</v>
      </c>
      <c r="P84" s="99">
        <f t="shared" si="8"/>
        <v>52.4</v>
      </c>
    </row>
    <row r="85" spans="2:16">
      <c r="D85" s="82" t="s">
        <v>27</v>
      </c>
      <c r="E85" s="71">
        <v>8318</v>
      </c>
      <c r="F85" s="71">
        <v>1410</v>
      </c>
      <c r="G85" s="71">
        <v>2496</v>
      </c>
      <c r="H85" s="71">
        <f t="shared" si="7"/>
        <v>12224</v>
      </c>
      <c r="J85" s="63"/>
      <c r="L85" s="82" t="s">
        <v>27</v>
      </c>
      <c r="M85" s="99">
        <f t="shared" ref="M85:O86" si="20">ROUND(E85/SUM(E$84:E$86)*100,1)</f>
        <v>33.299999999999997</v>
      </c>
      <c r="N85" s="99">
        <f t="shared" si="20"/>
        <v>29.1</v>
      </c>
      <c r="O85" s="99">
        <f t="shared" si="20"/>
        <v>29.5</v>
      </c>
      <c r="P85" s="99">
        <f t="shared" si="8"/>
        <v>31.9</v>
      </c>
    </row>
    <row r="86" spans="2:16">
      <c r="D86" s="82" t="s">
        <v>10</v>
      </c>
      <c r="E86" s="71">
        <v>4120</v>
      </c>
      <c r="F86" s="71">
        <v>673</v>
      </c>
      <c r="G86" s="71">
        <v>1197</v>
      </c>
      <c r="H86" s="71">
        <f t="shared" si="7"/>
        <v>5990</v>
      </c>
      <c r="J86" s="63"/>
      <c r="L86" s="82" t="s">
        <v>10</v>
      </c>
      <c r="M86" s="99">
        <f t="shared" si="20"/>
        <v>16.5</v>
      </c>
      <c r="N86" s="99">
        <f t="shared" si="20"/>
        <v>13.9</v>
      </c>
      <c r="O86" s="99">
        <f t="shared" si="20"/>
        <v>14.1</v>
      </c>
      <c r="P86" s="99">
        <f t="shared" si="8"/>
        <v>15.6</v>
      </c>
    </row>
    <row r="87" spans="2:16">
      <c r="C87" s="17" t="s">
        <v>29</v>
      </c>
      <c r="D87" s="82" t="s">
        <v>23</v>
      </c>
      <c r="E87" s="71">
        <v>16788</v>
      </c>
      <c r="F87" s="71">
        <v>3449</v>
      </c>
      <c r="G87" s="71">
        <v>5832</v>
      </c>
      <c r="H87" s="71">
        <f t="shared" si="7"/>
        <v>26069</v>
      </c>
      <c r="J87" s="63"/>
      <c r="K87" s="17" t="s">
        <v>29</v>
      </c>
      <c r="L87" s="82" t="s">
        <v>23</v>
      </c>
      <c r="M87" s="99">
        <f>ROUND(E87/SUM(E$87:E$89) * 100,1)</f>
        <v>67.2</v>
      </c>
      <c r="N87" s="99">
        <f>ROUND(F87/SUM(F$87:F$89) * 100,1)</f>
        <v>71.2</v>
      </c>
      <c r="O87" s="99">
        <f>ROUND(G87/SUM(G$87:G$89) * 100,1)</f>
        <v>68.900000000000006</v>
      </c>
      <c r="P87" s="99">
        <f t="shared" si="8"/>
        <v>68.099999999999994</v>
      </c>
    </row>
    <row r="88" spans="2:16">
      <c r="D88" s="82" t="s">
        <v>27</v>
      </c>
      <c r="E88" s="71">
        <v>6420</v>
      </c>
      <c r="F88" s="71">
        <v>1097</v>
      </c>
      <c r="G88" s="71">
        <v>2056</v>
      </c>
      <c r="H88" s="71">
        <f t="shared" si="7"/>
        <v>9573</v>
      </c>
      <c r="J88" s="63"/>
      <c r="L88" s="82" t="s">
        <v>27</v>
      </c>
      <c r="M88" s="99">
        <f t="shared" ref="M88:O89" si="21">ROUND(E88/SUM(E$87:E$89) * 100,1)</f>
        <v>25.7</v>
      </c>
      <c r="N88" s="99">
        <f t="shared" si="21"/>
        <v>22.7</v>
      </c>
      <c r="O88" s="99">
        <f t="shared" si="21"/>
        <v>24.3</v>
      </c>
      <c r="P88" s="99">
        <f t="shared" si="8"/>
        <v>25</v>
      </c>
    </row>
    <row r="89" spans="2:16">
      <c r="B89" s="88"/>
      <c r="C89" s="42"/>
      <c r="D89" s="89" t="s">
        <v>10</v>
      </c>
      <c r="E89" s="90">
        <v>1766</v>
      </c>
      <c r="F89" s="90">
        <v>295</v>
      </c>
      <c r="G89" s="90">
        <v>578</v>
      </c>
      <c r="H89" s="71">
        <f t="shared" si="7"/>
        <v>2639</v>
      </c>
      <c r="J89" s="88"/>
      <c r="K89" s="42"/>
      <c r="L89" s="89" t="s">
        <v>10</v>
      </c>
      <c r="M89" s="99">
        <f t="shared" si="21"/>
        <v>7.1</v>
      </c>
      <c r="N89" s="99">
        <f t="shared" si="21"/>
        <v>6.1</v>
      </c>
      <c r="O89" s="99">
        <f t="shared" si="21"/>
        <v>6.8</v>
      </c>
      <c r="P89" s="99">
        <f t="shared" si="8"/>
        <v>6.9</v>
      </c>
    </row>
  </sheetData>
  <mergeCells count="15">
    <mergeCell ref="E2:H2"/>
    <mergeCell ref="B5:C5"/>
    <mergeCell ref="B10:C10"/>
    <mergeCell ref="B17:C17"/>
    <mergeCell ref="B32:C32"/>
    <mergeCell ref="B80:C80"/>
    <mergeCell ref="J80:K80"/>
    <mergeCell ref="M50:P50"/>
    <mergeCell ref="B53:C53"/>
    <mergeCell ref="J53:K53"/>
    <mergeCell ref="B58:C58"/>
    <mergeCell ref="J58:K58"/>
    <mergeCell ref="B65:C65"/>
    <mergeCell ref="J65:K65"/>
    <mergeCell ref="E50:H50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N87"/>
  <sheetViews>
    <sheetView workbookViewId="0">
      <selection activeCell="C41" sqref="C41"/>
    </sheetView>
  </sheetViews>
  <sheetFormatPr defaultColWidth="9" defaultRowHeight="14.4"/>
  <cols>
    <col min="1" max="1" width="5.6640625" style="17" customWidth="1"/>
    <col min="2" max="2" width="0.44140625" style="63" customWidth="1"/>
    <col min="3" max="3" width="13" style="17" customWidth="1"/>
    <col min="4" max="4" width="10.77734375" style="63" bestFit="1" customWidth="1"/>
    <col min="5" max="5" width="11.6640625" style="72" customWidth="1"/>
    <col min="6" max="6" width="12.6640625" style="17" customWidth="1"/>
    <col min="7" max="7" width="11.6640625" style="17" customWidth="1"/>
    <col min="8" max="8" width="12.6640625" style="17" customWidth="1"/>
    <col min="9" max="9" width="28" style="62" bestFit="1" customWidth="1"/>
    <col min="10" max="10" width="9" style="17"/>
    <col min="11" max="11" width="9.88671875" style="17" bestFit="1" customWidth="1"/>
    <col min="12" max="12" width="9" style="17" customWidth="1"/>
    <col min="13" max="13" width="11.77734375" style="17" customWidth="1"/>
    <col min="14" max="14" width="13.44140625" style="17" customWidth="1"/>
    <col min="15" max="15" width="10" style="17" customWidth="1"/>
    <col min="16" max="16" width="11.77734375" style="17" customWidth="1"/>
    <col min="17" max="17" width="7.109375" style="17" customWidth="1"/>
    <col min="18" max="19" width="6.33203125" style="17" customWidth="1"/>
    <col min="20" max="20" width="6.44140625" style="17" customWidth="1"/>
    <col min="21" max="21" width="6.33203125" style="17" customWidth="1"/>
    <col min="22" max="22" width="7.109375" style="17" customWidth="1"/>
    <col min="23" max="16384" width="9" style="17"/>
  </cols>
  <sheetData>
    <row r="2" spans="2:11" ht="17.100000000000001" customHeight="1">
      <c r="B2" s="60"/>
      <c r="C2" s="61"/>
      <c r="D2" s="60"/>
      <c r="E2" s="507"/>
      <c r="F2" s="507" t="s">
        <v>46</v>
      </c>
      <c r="G2" s="507"/>
      <c r="H2" s="507"/>
      <c r="I2" s="154" t="s">
        <v>92</v>
      </c>
      <c r="J2" s="156" t="s">
        <v>101</v>
      </c>
    </row>
    <row r="3" spans="2:11" ht="16.95" customHeight="1">
      <c r="E3" s="64" t="s">
        <v>23</v>
      </c>
      <c r="F3" s="64" t="s">
        <v>6</v>
      </c>
      <c r="G3" s="64" t="s">
        <v>7</v>
      </c>
      <c r="H3" s="64" t="s">
        <v>47</v>
      </c>
      <c r="I3" s="155" t="s">
        <v>93</v>
      </c>
    </row>
    <row r="4" spans="2:11" ht="16.95" customHeight="1" thickBot="1">
      <c r="B4" s="65"/>
      <c r="C4" s="66"/>
      <c r="D4" s="66"/>
      <c r="E4" s="67" t="s">
        <v>48</v>
      </c>
      <c r="F4" s="66" t="s">
        <v>48</v>
      </c>
      <c r="G4" s="66" t="s">
        <v>48</v>
      </c>
      <c r="H4" s="66" t="s">
        <v>48</v>
      </c>
      <c r="I4" s="135" t="s">
        <v>94</v>
      </c>
    </row>
    <row r="5" spans="2:11" ht="17.100000000000001" customHeight="1" thickTop="1">
      <c r="B5" s="549" t="s">
        <v>49</v>
      </c>
      <c r="C5" s="550"/>
      <c r="D5" s="68"/>
      <c r="E5" s="69"/>
      <c r="F5" s="64"/>
      <c r="G5" s="64"/>
      <c r="H5" s="64"/>
      <c r="I5" s="135" t="s">
        <v>95</v>
      </c>
    </row>
    <row r="6" spans="2:11" ht="16.95" customHeight="1">
      <c r="C6" s="17" t="s">
        <v>50</v>
      </c>
      <c r="D6" s="97" t="s">
        <v>51</v>
      </c>
      <c r="E6" s="71" t="str">
        <f t="shared" ref="E6:H9" si="0">CONCATENATE(TEXT(E47,"#,000"), "(", TEXT(M47,"#.0"), ")")</f>
        <v>12,633(48.2)</v>
      </c>
      <c r="F6" s="71" t="str">
        <f t="shared" si="0"/>
        <v>2,946(59.0)</v>
      </c>
      <c r="G6" s="71" t="str">
        <f t="shared" si="0"/>
        <v>4,930(57.0)</v>
      </c>
      <c r="H6" s="71" t="str">
        <f t="shared" si="0"/>
        <v>20,509(51.5)</v>
      </c>
      <c r="I6" s="116">
        <v>20509</v>
      </c>
      <c r="J6" s="72"/>
      <c r="K6" s="72"/>
    </row>
    <row r="7" spans="2:11" ht="17.100000000000001" customHeight="1">
      <c r="D7" s="97" t="s">
        <v>52</v>
      </c>
      <c r="E7" s="71" t="str">
        <f t="shared" si="0"/>
        <v>13,586(51.8)</v>
      </c>
      <c r="F7" s="71" t="str">
        <f t="shared" si="0"/>
        <v>2,045(41.0)</v>
      </c>
      <c r="G7" s="71" t="str">
        <f t="shared" si="0"/>
        <v>3,719(43.0)</v>
      </c>
      <c r="H7" s="71" t="str">
        <f t="shared" si="0"/>
        <v>19,350(48.5)</v>
      </c>
      <c r="I7" s="27">
        <v>19350</v>
      </c>
    </row>
    <row r="8" spans="2:11" ht="16.95" customHeight="1">
      <c r="B8" s="73"/>
      <c r="C8" s="74" t="s">
        <v>53</v>
      </c>
      <c r="D8" s="26" t="s">
        <v>54</v>
      </c>
      <c r="E8" s="71" t="str">
        <f t="shared" si="0"/>
        <v>18,950(72.3)</v>
      </c>
      <c r="F8" s="71" t="str">
        <f t="shared" si="0"/>
        <v>3,898(78.1)</v>
      </c>
      <c r="G8" s="71" t="str">
        <f t="shared" si="0"/>
        <v>6,983(80.7)</v>
      </c>
      <c r="H8" s="71" t="str">
        <f t="shared" si="0"/>
        <v>29,831(74.8)</v>
      </c>
      <c r="I8" s="72">
        <f>29831-18950</f>
        <v>10881</v>
      </c>
      <c r="J8" s="17">
        <v>29831</v>
      </c>
      <c r="K8" s="17">
        <f>I8/J8</f>
        <v>0.36475478529046962</v>
      </c>
    </row>
    <row r="9" spans="2:11" ht="16.95" customHeight="1">
      <c r="B9" s="73"/>
      <c r="C9" s="75"/>
      <c r="D9" s="508" t="s">
        <v>55</v>
      </c>
      <c r="E9" s="77" t="str">
        <f t="shared" si="0"/>
        <v>7,269(27.7)</v>
      </c>
      <c r="F9" s="77" t="str">
        <f t="shared" si="0"/>
        <v>1,093(21.9)</v>
      </c>
      <c r="G9" s="77" t="str">
        <f t="shared" si="0"/>
        <v>1,666(19.3)</v>
      </c>
      <c r="H9" s="77" t="str">
        <f t="shared" si="0"/>
        <v>10,028(25.2)</v>
      </c>
      <c r="I9" s="17">
        <f>10028-7269</f>
        <v>2759</v>
      </c>
      <c r="J9" s="17">
        <v>10028</v>
      </c>
      <c r="K9" s="17">
        <f>I9/J9</f>
        <v>0.27512963701635423</v>
      </c>
    </row>
    <row r="10" spans="2:11" ht="16.95" customHeight="1">
      <c r="B10" s="551" t="s">
        <v>56</v>
      </c>
      <c r="C10" s="547"/>
      <c r="D10" s="97"/>
      <c r="E10" s="103"/>
      <c r="F10" s="103"/>
      <c r="G10" s="103"/>
      <c r="H10" s="71"/>
      <c r="I10" s="17"/>
    </row>
    <row r="11" spans="2:11" ht="16.95" customHeight="1">
      <c r="C11" s="17" t="s">
        <v>447</v>
      </c>
      <c r="D11" s="97" t="s">
        <v>58</v>
      </c>
      <c r="E11" s="71" t="str">
        <f t="shared" ref="E11:H14" si="1">CONCATENATE(TEXT(E52,"#,000"), "(", TEXT(M52,"#.0"), ")")</f>
        <v>14,724(56.2)</v>
      </c>
      <c r="F11" s="71" t="str">
        <f t="shared" si="1"/>
        <v>2,527(50.6)</v>
      </c>
      <c r="G11" s="71" t="str">
        <f t="shared" si="1"/>
        <v>4,112(47.5)</v>
      </c>
      <c r="H11" s="71" t="str">
        <f t="shared" si="1"/>
        <v>21,363(53.6)</v>
      </c>
      <c r="I11" s="17"/>
    </row>
    <row r="12" spans="2:11" ht="16.95" customHeight="1">
      <c r="C12" s="59"/>
      <c r="D12" s="97" t="s">
        <v>59</v>
      </c>
      <c r="E12" s="71" t="str">
        <f t="shared" si="1"/>
        <v>11,495(43.8)</v>
      </c>
      <c r="F12" s="71" t="str">
        <f t="shared" si="1"/>
        <v>2,464(49.4)</v>
      </c>
      <c r="G12" s="71" t="str">
        <f t="shared" si="1"/>
        <v>4,537(52.5)</v>
      </c>
      <c r="H12" s="71" t="str">
        <f t="shared" si="1"/>
        <v>18,496(46.4)</v>
      </c>
      <c r="I12" s="17"/>
    </row>
    <row r="13" spans="2:11" s="27" customFormat="1" ht="16.95" customHeight="1">
      <c r="B13" s="73"/>
      <c r="C13" s="21" t="s">
        <v>448</v>
      </c>
      <c r="D13" s="26" t="s">
        <v>61</v>
      </c>
      <c r="E13" s="71" t="str">
        <f t="shared" si="1"/>
        <v>22,082(84.2)</v>
      </c>
      <c r="F13" s="71" t="str">
        <f t="shared" si="1"/>
        <v>4,096(82.1)</v>
      </c>
      <c r="G13" s="71" t="str">
        <f t="shared" si="1"/>
        <v>7,398(85.5)</v>
      </c>
      <c r="H13" s="71" t="str">
        <f t="shared" si="1"/>
        <v>33,576(84.2)</v>
      </c>
    </row>
    <row r="14" spans="2:11" s="27" customFormat="1" ht="16.95" customHeight="1">
      <c r="B14" s="73"/>
      <c r="C14" s="21"/>
      <c r="D14" s="26" t="s">
        <v>62</v>
      </c>
      <c r="E14" s="71" t="str">
        <f t="shared" si="1"/>
        <v>4,137(15.8)</v>
      </c>
      <c r="F14" s="71" t="str">
        <f t="shared" si="1"/>
        <v>895(17.9)</v>
      </c>
      <c r="G14" s="71" t="str">
        <f t="shared" si="1"/>
        <v>1,251(14.5)</v>
      </c>
      <c r="H14" s="71" t="str">
        <f t="shared" si="1"/>
        <v>6,283(15.8)</v>
      </c>
    </row>
    <row r="15" spans="2:11" s="27" customFormat="1" ht="16.95" customHeight="1">
      <c r="B15" s="73"/>
      <c r="C15" s="21"/>
      <c r="D15" s="26" t="s">
        <v>64</v>
      </c>
      <c r="E15" s="71" t="str">
        <f t="shared" ref="E15:H16" si="2">CONCATENATE(TEXT(E59,"#,000"), "(", TEXT(M59,"#.0"), ")")</f>
        <v>7,798(29.7)</v>
      </c>
      <c r="F15" s="71" t="str">
        <f t="shared" si="2"/>
        <v>1,985(39.8)</v>
      </c>
      <c r="G15" s="71" t="str">
        <f t="shared" si="2"/>
        <v>3,521(40.7)</v>
      </c>
      <c r="H15" s="71" t="str">
        <f t="shared" si="2"/>
        <v>13,304(33.4)</v>
      </c>
    </row>
    <row r="16" spans="2:11" ht="16.95" customHeight="1">
      <c r="C16" s="17" t="s">
        <v>63</v>
      </c>
      <c r="D16" s="97" t="s">
        <v>23</v>
      </c>
      <c r="E16" s="71" t="str">
        <f t="shared" si="2"/>
        <v>10,857(41.4)</v>
      </c>
      <c r="F16" s="71" t="str">
        <f t="shared" si="2"/>
        <v>1,956(39.2)</v>
      </c>
      <c r="G16" s="71" t="str">
        <f t="shared" si="2"/>
        <v>3,078(35.6)</v>
      </c>
      <c r="H16" s="71" t="str">
        <f t="shared" si="2"/>
        <v>15,891(39.9)</v>
      </c>
      <c r="I16" s="17"/>
    </row>
    <row r="17" spans="2:9" ht="16.95" customHeight="1">
      <c r="D17" s="509" t="s">
        <v>64</v>
      </c>
      <c r="E17" s="77" t="str">
        <f>CONCATENATE(TEXT(E61,"#,000"), "(", TEXT(M61,"#.0"), ")")</f>
        <v>15,362(58.6)</v>
      </c>
      <c r="F17" s="77" t="str">
        <f t="shared" ref="F17:H30" si="3">CONCATENATE(TEXT(F61,"#,000"), "(", TEXT(N61,"#.0"), ")")</f>
        <v>3,035(60.8)</v>
      </c>
      <c r="G17" s="77" t="str">
        <f t="shared" si="3"/>
        <v>5,571(64.4)</v>
      </c>
      <c r="H17" s="77" t="str">
        <f t="shared" si="3"/>
        <v>23,968(60.1)</v>
      </c>
      <c r="I17" s="17"/>
    </row>
    <row r="18" spans="2:9" ht="16.95" customHeight="1">
      <c r="B18" s="551" t="s">
        <v>65</v>
      </c>
      <c r="C18" s="552"/>
      <c r="D18" s="97"/>
      <c r="E18" s="71"/>
      <c r="F18" s="71"/>
      <c r="G18" s="71"/>
      <c r="H18" s="71"/>
      <c r="I18" s="17"/>
    </row>
    <row r="19" spans="2:9" ht="16.95" customHeight="1">
      <c r="C19" s="80" t="s">
        <v>66</v>
      </c>
      <c r="D19" s="97" t="s">
        <v>23</v>
      </c>
      <c r="E19" s="71" t="str">
        <f t="shared" ref="E19:E30" si="4">CONCATENATE(TEXT(E63,"#,000"), "(", TEXT(M63,"#.0"), ")")</f>
        <v>24,871(94.9)</v>
      </c>
      <c r="F19" s="71" t="str">
        <f t="shared" si="3"/>
        <v>4,781(95.8)</v>
      </c>
      <c r="G19" s="71" t="str">
        <f t="shared" si="3"/>
        <v>8,383(96.9)</v>
      </c>
      <c r="H19" s="71" t="str">
        <f t="shared" si="3"/>
        <v>38,035(95.4)</v>
      </c>
      <c r="I19" s="17"/>
    </row>
    <row r="20" spans="2:9" ht="16.95" customHeight="1">
      <c r="D20" s="97" t="s">
        <v>64</v>
      </c>
      <c r="E20" s="71" t="str">
        <f t="shared" si="4"/>
        <v>1,348(5.1)</v>
      </c>
      <c r="F20" s="71" t="str">
        <f t="shared" si="3"/>
        <v>210(4.2)</v>
      </c>
      <c r="G20" s="71" t="str">
        <f t="shared" si="3"/>
        <v>266(3.1)</v>
      </c>
      <c r="H20" s="71" t="str">
        <f t="shared" si="3"/>
        <v>1,824(4.6)</v>
      </c>
    </row>
    <row r="21" spans="2:9" ht="16.95" customHeight="1">
      <c r="C21" s="80" t="s">
        <v>67</v>
      </c>
      <c r="D21" s="26" t="s">
        <v>23</v>
      </c>
      <c r="E21" s="259" t="str">
        <f t="shared" si="4"/>
        <v>9,998(38.1)</v>
      </c>
      <c r="F21" s="259" t="str">
        <f t="shared" si="3"/>
        <v>1,993(39.9)</v>
      </c>
      <c r="G21" s="259" t="str">
        <f t="shared" si="3"/>
        <v>3,117(36.0)</v>
      </c>
      <c r="H21" s="259" t="str">
        <f t="shared" si="3"/>
        <v>15,108(37.9)</v>
      </c>
    </row>
    <row r="22" spans="2:9" ht="16.95" customHeight="1">
      <c r="D22" s="26" t="s">
        <v>64</v>
      </c>
      <c r="E22" s="259" t="str">
        <f t="shared" si="4"/>
        <v>16,221(61.9)</v>
      </c>
      <c r="F22" s="259" t="str">
        <f t="shared" si="3"/>
        <v>2,998(60.1)</v>
      </c>
      <c r="G22" s="259" t="str">
        <f t="shared" si="3"/>
        <v>5,532(64.0)</v>
      </c>
      <c r="H22" s="259" t="str">
        <f t="shared" si="3"/>
        <v>24,751(62.1)</v>
      </c>
    </row>
    <row r="23" spans="2:9" ht="16.95" customHeight="1">
      <c r="C23" s="21" t="s">
        <v>76</v>
      </c>
      <c r="D23" s="97" t="s">
        <v>23</v>
      </c>
      <c r="E23" s="71" t="str">
        <f t="shared" si="4"/>
        <v>11,455(43.7)</v>
      </c>
      <c r="F23" s="71" t="str">
        <f t="shared" si="3"/>
        <v>2,711(54.3)</v>
      </c>
      <c r="G23" s="71" t="str">
        <f t="shared" si="3"/>
        <v>4,826(55.8)</v>
      </c>
      <c r="H23" s="71" t="str">
        <f t="shared" si="3"/>
        <v>18,992(47.6)</v>
      </c>
    </row>
    <row r="24" spans="2:9" ht="16.95" customHeight="1">
      <c r="D24" s="97" t="s">
        <v>64</v>
      </c>
      <c r="E24" s="71" t="str">
        <f t="shared" si="4"/>
        <v>14,764(56.3)</v>
      </c>
      <c r="F24" s="71" t="str">
        <f t="shared" si="3"/>
        <v>2,280(45.7)</v>
      </c>
      <c r="G24" s="71" t="str">
        <f t="shared" si="3"/>
        <v>3,823(44.2)</v>
      </c>
      <c r="H24" s="71" t="str">
        <f t="shared" si="3"/>
        <v>20,867(52.4)</v>
      </c>
    </row>
    <row r="25" spans="2:9" ht="16.95" customHeight="1">
      <c r="C25" s="81" t="s">
        <v>449</v>
      </c>
      <c r="D25" s="83">
        <v>0</v>
      </c>
      <c r="E25" s="71" t="str">
        <f t="shared" si="4"/>
        <v>9,895(37.7)</v>
      </c>
      <c r="F25" s="71" t="str">
        <f t="shared" si="3"/>
        <v>2,234(44.8)</v>
      </c>
      <c r="G25" s="71" t="str">
        <f t="shared" si="3"/>
        <v>3,825(44.2)</v>
      </c>
      <c r="H25" s="71" t="str">
        <f t="shared" si="3"/>
        <v>15,954(40.0)</v>
      </c>
    </row>
    <row r="26" spans="2:9" ht="16.95" customHeight="1">
      <c r="C26" s="83"/>
      <c r="D26" s="83">
        <v>1</v>
      </c>
      <c r="E26" s="71" t="str">
        <f t="shared" si="4"/>
        <v>7,647(29.2)</v>
      </c>
      <c r="F26" s="71" t="str">
        <f t="shared" si="3"/>
        <v>1,417(28.4)</v>
      </c>
      <c r="G26" s="71" t="str">
        <f t="shared" si="3"/>
        <v>2,518(29.1)</v>
      </c>
      <c r="H26" s="71" t="str">
        <f t="shared" si="3"/>
        <v>11,582(29.1)</v>
      </c>
    </row>
    <row r="27" spans="2:9" ht="16.95" customHeight="1">
      <c r="D27" s="83">
        <v>2</v>
      </c>
      <c r="E27" s="71" t="str">
        <f t="shared" si="4"/>
        <v>4,734(18.1)</v>
      </c>
      <c r="F27" s="71" t="str">
        <f t="shared" si="3"/>
        <v>694(13.9)</v>
      </c>
      <c r="G27" s="71" t="str">
        <f t="shared" si="3"/>
        <v>1,302(15.1)</v>
      </c>
      <c r="H27" s="71" t="str">
        <f t="shared" si="3"/>
        <v>6,730(16.9)</v>
      </c>
    </row>
    <row r="28" spans="2:9" ht="16.95" customHeight="1">
      <c r="D28" s="83" t="s">
        <v>69</v>
      </c>
      <c r="E28" s="71" t="str">
        <f t="shared" si="4"/>
        <v>3,943(15.0)</v>
      </c>
      <c r="F28" s="71" t="str">
        <f t="shared" si="3"/>
        <v>646(12.9)</v>
      </c>
      <c r="G28" s="71" t="str">
        <f t="shared" si="3"/>
        <v>1,004(11.6)</v>
      </c>
      <c r="H28" s="71" t="str">
        <f t="shared" si="3"/>
        <v>5,593(14.0)</v>
      </c>
    </row>
    <row r="29" spans="2:9" ht="16.95" customHeight="1">
      <c r="C29" s="17" t="s">
        <v>70</v>
      </c>
      <c r="D29" s="83" t="s">
        <v>71</v>
      </c>
      <c r="E29" s="71" t="str">
        <f t="shared" si="4"/>
        <v>1,076(4.1)</v>
      </c>
      <c r="F29" s="71" t="str">
        <f t="shared" si="3"/>
        <v>208(4.2)</v>
      </c>
      <c r="G29" s="71" t="str">
        <f t="shared" si="3"/>
        <v>249(2.9)</v>
      </c>
      <c r="H29" s="71" t="str">
        <f t="shared" si="3"/>
        <v>1,533(3.8)</v>
      </c>
    </row>
    <row r="30" spans="2:9" ht="16.95" customHeight="1">
      <c r="B30" s="85"/>
      <c r="C30" s="86"/>
      <c r="D30" s="510" t="s">
        <v>72</v>
      </c>
      <c r="E30" s="77" t="str">
        <f t="shared" si="4"/>
        <v>25,143(95.9)</v>
      </c>
      <c r="F30" s="77" t="str">
        <f t="shared" si="3"/>
        <v>4,783(95.8)</v>
      </c>
      <c r="G30" s="77" t="str">
        <f t="shared" si="3"/>
        <v>8,400(97.1)</v>
      </c>
      <c r="H30" s="77" t="str">
        <f t="shared" si="3"/>
        <v>38,326(96.2)</v>
      </c>
    </row>
    <row r="31" spans="2:9" ht="16.95" customHeight="1">
      <c r="B31" s="546" t="s">
        <v>73</v>
      </c>
      <c r="C31" s="547"/>
      <c r="D31" s="83"/>
      <c r="E31" s="71"/>
      <c r="F31" s="71"/>
      <c r="G31" s="71"/>
      <c r="H31" s="71"/>
    </row>
    <row r="32" spans="2:9" ht="16.95" hidden="1" customHeight="1">
      <c r="B32" s="91"/>
      <c r="C32" s="92"/>
      <c r="D32" s="511"/>
      <c r="E32" s="71" t="str">
        <f t="shared" ref="E32:H32" si="5">CONCATENATE(TEXT(E76,"#,000"), "(", TEXT(M76,"#.0"), ")")</f>
        <v>2,919(11.1)</v>
      </c>
      <c r="F32" s="71" t="str">
        <f t="shared" si="5"/>
        <v>780(15.6)</v>
      </c>
      <c r="G32" s="71" t="str">
        <f t="shared" si="5"/>
        <v>1,076(12.4)</v>
      </c>
      <c r="H32" s="71" t="str">
        <f t="shared" si="5"/>
        <v>4,775(12.0)</v>
      </c>
    </row>
    <row r="33" spans="1:40" ht="16.95" customHeight="1">
      <c r="B33" s="260"/>
      <c r="C33" s="113"/>
      <c r="D33" s="83" t="s">
        <v>23</v>
      </c>
      <c r="E33" s="71" t="str">
        <f t="shared" ref="E33:H35" si="6">CONCATENATE(TEXT(E76,"#,000"), "(", TEXT(M76,"#.0"), ")")</f>
        <v>2,919(11.1)</v>
      </c>
      <c r="F33" s="71" t="str">
        <f t="shared" si="6"/>
        <v>780(15.6)</v>
      </c>
      <c r="G33" s="71" t="str">
        <f t="shared" si="6"/>
        <v>1,076(12.4)</v>
      </c>
      <c r="H33" s="71" t="str">
        <f t="shared" si="6"/>
        <v>4,775(12.0)</v>
      </c>
      <c r="J33" s="17">
        <v>4775</v>
      </c>
      <c r="K33" s="171">
        <f>J33/J36</f>
        <v>0.11979728543114479</v>
      </c>
      <c r="N33" s="17">
        <v>2919</v>
      </c>
      <c r="O33" s="17">
        <v>780</v>
      </c>
      <c r="P33" s="17">
        <v>1076</v>
      </c>
    </row>
    <row r="34" spans="1:40" ht="16.95" customHeight="1">
      <c r="B34" s="260"/>
      <c r="C34" s="64"/>
      <c r="D34" s="83" t="s">
        <v>27</v>
      </c>
      <c r="E34" s="71" t="str">
        <f t="shared" si="6"/>
        <v>13,025(49.7)</v>
      </c>
      <c r="F34" s="71" t="str">
        <f t="shared" si="6"/>
        <v>2,697(54.0)</v>
      </c>
      <c r="G34" s="71" t="str">
        <f t="shared" si="6"/>
        <v>4,019(46.5)</v>
      </c>
      <c r="H34" s="71" t="str">
        <f t="shared" si="6"/>
        <v>19,741(49.5)</v>
      </c>
      <c r="J34" s="17">
        <v>19741</v>
      </c>
      <c r="K34" s="171">
        <f>J34/J36</f>
        <v>0.49527082967460295</v>
      </c>
      <c r="N34" s="17">
        <v>13035</v>
      </c>
      <c r="O34" s="17">
        <v>2697</v>
      </c>
      <c r="P34" s="17">
        <v>4019</v>
      </c>
    </row>
    <row r="35" spans="1:40" ht="16.95" customHeight="1">
      <c r="B35" s="91"/>
      <c r="C35" s="92"/>
      <c r="D35" s="512" t="s">
        <v>10</v>
      </c>
      <c r="E35" s="90" t="str">
        <f t="shared" si="6"/>
        <v>10,275(39.2)</v>
      </c>
      <c r="F35" s="90" t="str">
        <f t="shared" si="6"/>
        <v>1,514(30.3)</v>
      </c>
      <c r="G35" s="90" t="str">
        <f t="shared" si="6"/>
        <v>3,554(41.1)</v>
      </c>
      <c r="H35" s="90" t="str">
        <f t="shared" si="6"/>
        <v>15,343(38.5)</v>
      </c>
      <c r="J35" s="17">
        <v>15343</v>
      </c>
      <c r="K35" s="171">
        <f>J35/J36</f>
        <v>0.38493188489425223</v>
      </c>
      <c r="L35" s="17">
        <f>J34+J35</f>
        <v>35084</v>
      </c>
      <c r="M35" s="173">
        <f>K34+K35</f>
        <v>0.88020271456885513</v>
      </c>
      <c r="N35" s="17">
        <v>10275</v>
      </c>
      <c r="O35" s="17">
        <v>1514</v>
      </c>
      <c r="P35" s="17">
        <v>3554</v>
      </c>
      <c r="AG35" s="72"/>
      <c r="AH35" s="78"/>
      <c r="AI35" s="72"/>
      <c r="AJ35" s="78"/>
      <c r="AK35" s="72"/>
      <c r="AL35" s="78"/>
      <c r="AM35" s="72"/>
      <c r="AN35" s="117"/>
    </row>
    <row r="36" spans="1:40" s="34" customFormat="1" ht="16.95" customHeight="1">
      <c r="B36" s="261" t="s">
        <v>446</v>
      </c>
      <c r="C36" s="95"/>
      <c r="D36" s="95"/>
      <c r="E36" s="95"/>
      <c r="F36" s="95"/>
      <c r="G36" s="95"/>
      <c r="H36" s="95"/>
      <c r="I36" s="96"/>
      <c r="J36" s="63">
        <f>SUM(J33:J35)</f>
        <v>39859</v>
      </c>
      <c r="K36" s="172">
        <f>SUM(K33:K35)</f>
        <v>1</v>
      </c>
      <c r="N36" s="63">
        <f>SUM(N33:N35)</f>
        <v>26229</v>
      </c>
      <c r="O36" s="63">
        <f>SUM(O33:O35)</f>
        <v>4991</v>
      </c>
      <c r="P36" s="63">
        <f>SUM(P33:P35)</f>
        <v>8649</v>
      </c>
      <c r="Q36" s="34">
        <f>SUM(N36:P36)</f>
        <v>39869</v>
      </c>
    </row>
    <row r="37" spans="1:40" s="63" customFormat="1" ht="16.95" customHeight="1">
      <c r="B37" s="97"/>
      <c r="C37" s="83"/>
      <c r="D37" s="83"/>
      <c r="E37" s="83"/>
      <c r="F37" s="83"/>
      <c r="G37" s="83"/>
      <c r="H37" s="83"/>
      <c r="I37" s="98"/>
      <c r="N37" s="174">
        <f>N36/Q36</f>
        <v>0.65787955554440791</v>
      </c>
      <c r="O37" s="174">
        <f>O36/Q36</f>
        <v>0.12518498081215981</v>
      </c>
      <c r="P37" s="174">
        <f>P36/Q36</f>
        <v>0.21693546364343225</v>
      </c>
    </row>
    <row r="38" spans="1:40" ht="16.95" customHeight="1">
      <c r="E38" s="78"/>
    </row>
    <row r="39" spans="1:40" ht="16.95" customHeight="1">
      <c r="E39" s="78"/>
    </row>
    <row r="40" spans="1:40" ht="16.95" customHeight="1"/>
    <row r="41" spans="1:40" s="198" customFormat="1">
      <c r="A41" s="17"/>
      <c r="B41" s="63"/>
      <c r="C41" s="17"/>
      <c r="D41" s="63"/>
      <c r="E41" s="72"/>
      <c r="F41" s="17"/>
      <c r="G41" s="17"/>
      <c r="H41" s="17"/>
      <c r="I41" s="62"/>
      <c r="J41" s="17"/>
      <c r="K41" s="17"/>
      <c r="L41" s="17"/>
      <c r="M41" s="17"/>
      <c r="N41" s="17"/>
      <c r="O41" s="17"/>
      <c r="P41" s="17"/>
    </row>
    <row r="42" spans="1:40">
      <c r="D42" s="17"/>
      <c r="E42" s="17"/>
      <c r="F42" s="62"/>
      <c r="I42" s="17"/>
    </row>
    <row r="43" spans="1:40">
      <c r="B43" s="60"/>
      <c r="C43" s="61"/>
      <c r="D43" s="60"/>
      <c r="E43" s="548" t="s">
        <v>46</v>
      </c>
      <c r="F43" s="548"/>
      <c r="G43" s="548"/>
      <c r="H43" s="548"/>
      <c r="I43" s="17"/>
      <c r="J43" s="60"/>
      <c r="K43" s="61"/>
      <c r="L43" s="60"/>
      <c r="M43" s="548" t="s">
        <v>46</v>
      </c>
      <c r="N43" s="548"/>
      <c r="O43" s="548"/>
      <c r="P43" s="548"/>
    </row>
    <row r="44" spans="1:40" ht="13.8">
      <c r="E44" s="64" t="s">
        <v>23</v>
      </c>
      <c r="F44" s="64" t="s">
        <v>6</v>
      </c>
      <c r="G44" s="64" t="s">
        <v>7</v>
      </c>
      <c r="H44" s="64" t="s">
        <v>47</v>
      </c>
      <c r="I44" s="17"/>
      <c r="J44" s="63"/>
      <c r="L44" s="63"/>
      <c r="M44" s="64" t="s">
        <v>23</v>
      </c>
      <c r="N44" s="64" t="s">
        <v>6</v>
      </c>
      <c r="O44" s="64" t="s">
        <v>7</v>
      </c>
      <c r="P44" s="64" t="s">
        <v>47</v>
      </c>
    </row>
    <row r="45" spans="1:40" ht="15" thickBot="1">
      <c r="B45" s="65"/>
      <c r="C45" s="66"/>
      <c r="D45" s="66"/>
      <c r="E45" s="67" t="s">
        <v>48</v>
      </c>
      <c r="F45" s="66" t="s">
        <v>48</v>
      </c>
      <c r="G45" s="66" t="s">
        <v>48</v>
      </c>
      <c r="H45" s="66" t="s">
        <v>48</v>
      </c>
      <c r="J45" s="65"/>
      <c r="K45" s="66"/>
      <c r="L45" s="66"/>
      <c r="M45" s="67" t="s">
        <v>48</v>
      </c>
      <c r="N45" s="66" t="s">
        <v>48</v>
      </c>
      <c r="O45" s="66" t="s">
        <v>48</v>
      </c>
      <c r="P45" s="66" t="s">
        <v>48</v>
      </c>
    </row>
    <row r="46" spans="1:40" ht="15" thickTop="1">
      <c r="B46" s="549" t="s">
        <v>49</v>
      </c>
      <c r="C46" s="550"/>
      <c r="D46" s="68"/>
      <c r="E46" s="69"/>
      <c r="F46" s="64"/>
      <c r="G46" s="64"/>
      <c r="H46" s="64"/>
      <c r="J46" s="549" t="s">
        <v>49</v>
      </c>
      <c r="K46" s="550"/>
      <c r="L46" s="68"/>
      <c r="M46" s="69"/>
      <c r="N46" s="64"/>
      <c r="O46" s="64"/>
      <c r="P46" s="64"/>
    </row>
    <row r="47" spans="1:40">
      <c r="C47" s="17" t="s">
        <v>50</v>
      </c>
      <c r="D47" s="70" t="s">
        <v>51</v>
      </c>
      <c r="E47" s="71">
        <v>12633</v>
      </c>
      <c r="F47" s="71">
        <v>2946</v>
      </c>
      <c r="G47" s="71">
        <v>4930</v>
      </c>
      <c r="H47" s="71">
        <f>SUM($E47:$G47)</f>
        <v>20509</v>
      </c>
      <c r="J47" s="63"/>
      <c r="K47" s="17" t="s">
        <v>50</v>
      </c>
      <c r="L47" s="70" t="s">
        <v>51</v>
      </c>
      <c r="M47" s="262">
        <f t="shared" ref="M47:O48" si="7">ROUND(E47/SUM(E$47:E$48) *100, 1)</f>
        <v>48.2</v>
      </c>
      <c r="N47" s="262">
        <f t="shared" si="7"/>
        <v>59</v>
      </c>
      <c r="O47" s="262">
        <f t="shared" si="7"/>
        <v>57</v>
      </c>
      <c r="P47" s="262">
        <f>ROUND(H47/SUM($E$47:$G$48) * 100,1)</f>
        <v>51.5</v>
      </c>
    </row>
    <row r="48" spans="1:40">
      <c r="D48" s="70" t="s">
        <v>52</v>
      </c>
      <c r="E48" s="71">
        <v>13586</v>
      </c>
      <c r="F48" s="71">
        <v>2045</v>
      </c>
      <c r="G48" s="71">
        <v>3719</v>
      </c>
      <c r="H48" s="71">
        <f t="shared" ref="H48:H87" si="8">SUM($E48:$G48)</f>
        <v>19350</v>
      </c>
      <c r="J48" s="63"/>
      <c r="L48" s="70" t="s">
        <v>52</v>
      </c>
      <c r="M48" s="262">
        <f t="shared" si="7"/>
        <v>51.8</v>
      </c>
      <c r="N48" s="262">
        <f t="shared" si="7"/>
        <v>41</v>
      </c>
      <c r="O48" s="262">
        <f t="shared" si="7"/>
        <v>43</v>
      </c>
      <c r="P48" s="262">
        <f t="shared" ref="P48:P87" si="9">ROUND(H48/SUM($E$47:$G$48) * 100,1)</f>
        <v>48.5</v>
      </c>
    </row>
    <row r="49" spans="2:16">
      <c r="B49" s="73"/>
      <c r="C49" s="74" t="s">
        <v>53</v>
      </c>
      <c r="D49" s="29" t="s">
        <v>54</v>
      </c>
      <c r="E49" s="100">
        <v>18950</v>
      </c>
      <c r="F49" s="100">
        <v>3898</v>
      </c>
      <c r="G49" s="100">
        <v>6983</v>
      </c>
      <c r="H49" s="71">
        <f t="shared" si="8"/>
        <v>29831</v>
      </c>
      <c r="J49" s="73"/>
      <c r="K49" s="74" t="s">
        <v>53</v>
      </c>
      <c r="L49" s="29" t="s">
        <v>54</v>
      </c>
      <c r="M49" s="263">
        <f t="shared" ref="M49:O50" si="10">ROUND(E49/SUM(E$49:E$50) * 100, 1)</f>
        <v>72.3</v>
      </c>
      <c r="N49" s="263">
        <f t="shared" si="10"/>
        <v>78.099999999999994</v>
      </c>
      <c r="O49" s="263">
        <f t="shared" si="10"/>
        <v>80.7</v>
      </c>
      <c r="P49" s="262">
        <f t="shared" si="9"/>
        <v>74.8</v>
      </c>
    </row>
    <row r="50" spans="2:16">
      <c r="B50" s="73"/>
      <c r="C50" s="74"/>
      <c r="D50" s="29" t="s">
        <v>55</v>
      </c>
      <c r="E50" s="100">
        <v>7269</v>
      </c>
      <c r="F50" s="100">
        <v>1093</v>
      </c>
      <c r="G50" s="100">
        <v>1666</v>
      </c>
      <c r="H50" s="71">
        <f t="shared" si="8"/>
        <v>10028</v>
      </c>
      <c r="J50" s="73"/>
      <c r="K50" s="74"/>
      <c r="L50" s="29" t="s">
        <v>55</v>
      </c>
      <c r="M50" s="263">
        <f t="shared" si="10"/>
        <v>27.7</v>
      </c>
      <c r="N50" s="263">
        <f t="shared" si="10"/>
        <v>21.9</v>
      </c>
      <c r="O50" s="263">
        <f t="shared" si="10"/>
        <v>19.3</v>
      </c>
      <c r="P50" s="262">
        <f t="shared" si="9"/>
        <v>25.2</v>
      </c>
    </row>
    <row r="51" spans="2:16">
      <c r="B51" s="551" t="s">
        <v>56</v>
      </c>
      <c r="C51" s="552"/>
      <c r="D51" s="102"/>
      <c r="E51" s="103"/>
      <c r="F51" s="103"/>
      <c r="G51" s="103"/>
      <c r="H51" s="71"/>
      <c r="J51" s="551" t="s">
        <v>56</v>
      </c>
      <c r="K51" s="552"/>
      <c r="L51" s="102"/>
      <c r="M51" s="264"/>
      <c r="N51" s="264"/>
      <c r="O51" s="264"/>
      <c r="P51" s="262"/>
    </row>
    <row r="52" spans="2:16">
      <c r="C52" s="17" t="s">
        <v>57</v>
      </c>
      <c r="D52" s="70" t="s">
        <v>58</v>
      </c>
      <c r="E52" s="71">
        <v>14724</v>
      </c>
      <c r="F52" s="71">
        <v>2527</v>
      </c>
      <c r="G52" s="71">
        <v>4112</v>
      </c>
      <c r="H52" s="71">
        <f t="shared" si="8"/>
        <v>21363</v>
      </c>
      <c r="J52" s="63"/>
      <c r="K52" s="17" t="s">
        <v>57</v>
      </c>
      <c r="L52" s="70" t="s">
        <v>58</v>
      </c>
      <c r="M52" s="263">
        <f t="shared" ref="M52:O53" si="11">ROUND(E52/SUM(E$52:E$53) * 100, 1)</f>
        <v>56.2</v>
      </c>
      <c r="N52" s="263">
        <f t="shared" si="11"/>
        <v>50.6</v>
      </c>
      <c r="O52" s="263">
        <f t="shared" si="11"/>
        <v>47.5</v>
      </c>
      <c r="P52" s="262">
        <f t="shared" si="9"/>
        <v>53.6</v>
      </c>
    </row>
    <row r="53" spans="2:16">
      <c r="C53" s="59"/>
      <c r="D53" s="70" t="s">
        <v>59</v>
      </c>
      <c r="E53" s="71">
        <v>11495</v>
      </c>
      <c r="F53" s="71">
        <v>2464</v>
      </c>
      <c r="G53" s="71">
        <v>4537</v>
      </c>
      <c r="H53" s="71">
        <f t="shared" si="8"/>
        <v>18496</v>
      </c>
      <c r="J53" s="63"/>
      <c r="K53" s="59"/>
      <c r="L53" s="70" t="s">
        <v>59</v>
      </c>
      <c r="M53" s="263">
        <f t="shared" si="11"/>
        <v>43.8</v>
      </c>
      <c r="N53" s="263">
        <f t="shared" si="11"/>
        <v>49.4</v>
      </c>
      <c r="O53" s="263">
        <f t="shared" si="11"/>
        <v>52.5</v>
      </c>
      <c r="P53" s="262">
        <f t="shared" si="9"/>
        <v>46.4</v>
      </c>
    </row>
    <row r="54" spans="2:16" ht="15.6">
      <c r="B54" s="73"/>
      <c r="C54" s="21" t="s">
        <v>60</v>
      </c>
      <c r="D54" s="29" t="s">
        <v>61</v>
      </c>
      <c r="E54" s="71">
        <v>22082</v>
      </c>
      <c r="F54" s="71">
        <v>4096</v>
      </c>
      <c r="G54" s="71">
        <v>7398</v>
      </c>
      <c r="H54" s="71">
        <f t="shared" si="8"/>
        <v>33576</v>
      </c>
      <c r="J54" s="73"/>
      <c r="K54" s="21" t="s">
        <v>60</v>
      </c>
      <c r="L54" s="29" t="s">
        <v>61</v>
      </c>
      <c r="M54" s="262">
        <f t="shared" ref="M54:P59" si="12">ROUND(E54/SUM(E$54:E$55) * 100, 1)</f>
        <v>84.2</v>
      </c>
      <c r="N54" s="262">
        <f t="shared" si="12"/>
        <v>82.1</v>
      </c>
      <c r="O54" s="262">
        <f t="shared" si="12"/>
        <v>85.5</v>
      </c>
      <c r="P54" s="262">
        <f t="shared" si="9"/>
        <v>84.2</v>
      </c>
    </row>
    <row r="55" spans="2:16">
      <c r="B55" s="73"/>
      <c r="C55" s="21"/>
      <c r="D55" s="29" t="s">
        <v>62</v>
      </c>
      <c r="E55" s="71">
        <v>4137</v>
      </c>
      <c r="F55" s="71">
        <v>895</v>
      </c>
      <c r="G55" s="71">
        <v>1251</v>
      </c>
      <c r="H55" s="71">
        <f t="shared" si="8"/>
        <v>6283</v>
      </c>
      <c r="J55" s="73"/>
      <c r="K55" s="21"/>
      <c r="L55" s="29" t="s">
        <v>62</v>
      </c>
      <c r="M55" s="262">
        <f t="shared" si="12"/>
        <v>15.8</v>
      </c>
      <c r="N55" s="262">
        <f t="shared" si="12"/>
        <v>17.899999999999999</v>
      </c>
      <c r="O55" s="262">
        <f t="shared" si="12"/>
        <v>14.5</v>
      </c>
      <c r="P55" s="262">
        <f t="shared" si="12"/>
        <v>15.8</v>
      </c>
    </row>
    <row r="56" spans="2:16">
      <c r="B56" s="73"/>
      <c r="C56" s="27" t="s">
        <v>173</v>
      </c>
      <c r="D56" s="187" t="s">
        <v>23</v>
      </c>
      <c r="E56" s="71">
        <v>16997</v>
      </c>
      <c r="F56" s="71">
        <v>2943</v>
      </c>
      <c r="G56" s="71">
        <v>5231</v>
      </c>
      <c r="H56" s="71">
        <f t="shared" si="8"/>
        <v>25171</v>
      </c>
      <c r="J56" s="73"/>
      <c r="K56" s="27" t="s">
        <v>173</v>
      </c>
      <c r="L56" s="187" t="s">
        <v>23</v>
      </c>
      <c r="M56" s="262">
        <f t="shared" si="12"/>
        <v>64.8</v>
      </c>
      <c r="N56" s="262">
        <f t="shared" si="12"/>
        <v>59</v>
      </c>
      <c r="O56" s="262">
        <f t="shared" si="12"/>
        <v>60.5</v>
      </c>
      <c r="P56" s="262">
        <f t="shared" si="12"/>
        <v>63.2</v>
      </c>
    </row>
    <row r="57" spans="2:16">
      <c r="B57" s="73"/>
      <c r="C57" s="27"/>
      <c r="D57" s="187" t="s">
        <v>64</v>
      </c>
      <c r="E57" s="71">
        <v>9222</v>
      </c>
      <c r="F57" s="71">
        <v>2048</v>
      </c>
      <c r="G57" s="71">
        <v>3418</v>
      </c>
      <c r="H57" s="71">
        <f t="shared" si="8"/>
        <v>14688</v>
      </c>
      <c r="J57" s="73"/>
      <c r="K57" s="27"/>
      <c r="L57" s="187" t="s">
        <v>64</v>
      </c>
      <c r="M57" s="262">
        <f t="shared" si="12"/>
        <v>35.200000000000003</v>
      </c>
      <c r="N57" s="262">
        <f t="shared" si="12"/>
        <v>41</v>
      </c>
      <c r="O57" s="262">
        <f t="shared" si="12"/>
        <v>39.5</v>
      </c>
      <c r="P57" s="262">
        <f t="shared" si="12"/>
        <v>36.799999999999997</v>
      </c>
    </row>
    <row r="58" spans="2:16">
      <c r="B58" s="73"/>
      <c r="C58" s="27" t="s">
        <v>165</v>
      </c>
      <c r="D58" s="187" t="s">
        <v>23</v>
      </c>
      <c r="E58" s="71">
        <v>18421</v>
      </c>
      <c r="F58" s="71">
        <v>3006</v>
      </c>
      <c r="G58" s="71">
        <v>5128</v>
      </c>
      <c r="H58" s="71">
        <f t="shared" si="8"/>
        <v>26555</v>
      </c>
      <c r="J58" s="73"/>
      <c r="K58" s="27" t="s">
        <v>165</v>
      </c>
      <c r="L58" s="187" t="s">
        <v>23</v>
      </c>
      <c r="M58" s="262">
        <f t="shared" si="12"/>
        <v>70.3</v>
      </c>
      <c r="N58" s="262">
        <f t="shared" si="12"/>
        <v>60.2</v>
      </c>
      <c r="O58" s="262">
        <f t="shared" si="12"/>
        <v>59.3</v>
      </c>
      <c r="P58" s="262">
        <f t="shared" si="12"/>
        <v>66.599999999999994</v>
      </c>
    </row>
    <row r="59" spans="2:16">
      <c r="B59" s="73"/>
      <c r="C59" s="21"/>
      <c r="D59" s="29" t="s">
        <v>64</v>
      </c>
      <c r="E59" s="71">
        <v>7798</v>
      </c>
      <c r="F59" s="71">
        <v>1985</v>
      </c>
      <c r="G59" s="71">
        <v>3521</v>
      </c>
      <c r="H59" s="71">
        <f t="shared" si="8"/>
        <v>13304</v>
      </c>
      <c r="J59" s="73"/>
      <c r="K59" s="21"/>
      <c r="L59" s="29" t="s">
        <v>64</v>
      </c>
      <c r="M59" s="262">
        <f t="shared" si="12"/>
        <v>29.7</v>
      </c>
      <c r="N59" s="262">
        <f t="shared" si="12"/>
        <v>39.799999999999997</v>
      </c>
      <c r="O59" s="262">
        <f t="shared" si="12"/>
        <v>40.700000000000003</v>
      </c>
      <c r="P59" s="262">
        <f t="shared" si="12"/>
        <v>33.4</v>
      </c>
    </row>
    <row r="60" spans="2:16">
      <c r="C60" s="17" t="s">
        <v>63</v>
      </c>
      <c r="D60" s="70" t="s">
        <v>23</v>
      </c>
      <c r="E60" s="71">
        <v>10857</v>
      </c>
      <c r="F60" s="71">
        <v>1956</v>
      </c>
      <c r="G60" s="71">
        <v>3078</v>
      </c>
      <c r="H60" s="71">
        <f t="shared" si="8"/>
        <v>15891</v>
      </c>
      <c r="J60" s="63"/>
      <c r="K60" s="17" t="s">
        <v>63</v>
      </c>
      <c r="L60" s="70" t="s">
        <v>23</v>
      </c>
      <c r="M60" s="262">
        <f t="shared" ref="M60:O61" si="13">ROUND(E60/SUM(E$60:E$61)*100,1)</f>
        <v>41.4</v>
      </c>
      <c r="N60" s="262">
        <f t="shared" si="13"/>
        <v>39.200000000000003</v>
      </c>
      <c r="O60" s="262">
        <f t="shared" si="13"/>
        <v>35.6</v>
      </c>
      <c r="P60" s="262">
        <f t="shared" si="9"/>
        <v>39.9</v>
      </c>
    </row>
    <row r="61" spans="2:16">
      <c r="D61" s="70" t="s">
        <v>64</v>
      </c>
      <c r="E61" s="71">
        <v>15362</v>
      </c>
      <c r="F61" s="71">
        <v>3035</v>
      </c>
      <c r="G61" s="71">
        <v>5571</v>
      </c>
      <c r="H61" s="71">
        <f t="shared" si="8"/>
        <v>23968</v>
      </c>
      <c r="J61" s="63"/>
      <c r="L61" s="70" t="s">
        <v>64</v>
      </c>
      <c r="M61" s="262">
        <f t="shared" si="13"/>
        <v>58.6</v>
      </c>
      <c r="N61" s="262">
        <f t="shared" si="13"/>
        <v>60.8</v>
      </c>
      <c r="O61" s="262">
        <f t="shared" si="13"/>
        <v>64.400000000000006</v>
      </c>
      <c r="P61" s="262">
        <f t="shared" si="9"/>
        <v>60.1</v>
      </c>
    </row>
    <row r="62" spans="2:16">
      <c r="B62" s="551" t="s">
        <v>65</v>
      </c>
      <c r="C62" s="552"/>
      <c r="D62" s="102"/>
      <c r="E62" s="103"/>
      <c r="F62" s="103"/>
      <c r="G62" s="103"/>
      <c r="H62" s="71"/>
      <c r="J62" s="551" t="s">
        <v>65</v>
      </c>
      <c r="K62" s="552"/>
      <c r="L62" s="102"/>
      <c r="M62" s="264"/>
      <c r="N62" s="264"/>
      <c r="O62" s="264"/>
      <c r="P62" s="262"/>
    </row>
    <row r="63" spans="2:16">
      <c r="C63" s="80" t="s">
        <v>66</v>
      </c>
      <c r="D63" s="70" t="s">
        <v>23</v>
      </c>
      <c r="E63" s="71">
        <v>24871</v>
      </c>
      <c r="F63" s="71">
        <v>4781</v>
      </c>
      <c r="G63" s="71">
        <v>8383</v>
      </c>
      <c r="H63" s="71">
        <f t="shared" si="8"/>
        <v>38035</v>
      </c>
      <c r="J63" s="63"/>
      <c r="K63" s="80" t="s">
        <v>66</v>
      </c>
      <c r="L63" s="70" t="s">
        <v>23</v>
      </c>
      <c r="M63" s="262">
        <f t="shared" ref="M63:O64" si="14">ROUND(E63/SUM(E$63:E$64)*100,1)</f>
        <v>94.9</v>
      </c>
      <c r="N63" s="262">
        <f t="shared" si="14"/>
        <v>95.8</v>
      </c>
      <c r="O63" s="262">
        <f t="shared" si="14"/>
        <v>96.9</v>
      </c>
      <c r="P63" s="262">
        <f t="shared" si="9"/>
        <v>95.4</v>
      </c>
    </row>
    <row r="64" spans="2:16">
      <c r="D64" s="70" t="s">
        <v>64</v>
      </c>
      <c r="E64" s="71">
        <v>1348</v>
      </c>
      <c r="F64" s="71">
        <v>210</v>
      </c>
      <c r="G64" s="71">
        <v>266</v>
      </c>
      <c r="H64" s="71">
        <f t="shared" si="8"/>
        <v>1824</v>
      </c>
      <c r="J64" s="63"/>
      <c r="L64" s="70" t="s">
        <v>64</v>
      </c>
      <c r="M64" s="262">
        <f t="shared" si="14"/>
        <v>5.0999999999999996</v>
      </c>
      <c r="N64" s="262">
        <f t="shared" si="14"/>
        <v>4.2</v>
      </c>
      <c r="O64" s="262">
        <f t="shared" si="14"/>
        <v>3.1</v>
      </c>
      <c r="P64" s="262">
        <f t="shared" si="9"/>
        <v>4.5999999999999996</v>
      </c>
    </row>
    <row r="65" spans="2:16">
      <c r="C65" s="80" t="s">
        <v>67</v>
      </c>
      <c r="D65" s="187" t="s">
        <v>23</v>
      </c>
      <c r="E65" s="71">
        <v>9998</v>
      </c>
      <c r="F65" s="71">
        <v>1993</v>
      </c>
      <c r="G65" s="71">
        <v>3117</v>
      </c>
      <c r="H65" s="71">
        <f t="shared" si="8"/>
        <v>15108</v>
      </c>
      <c r="J65" s="63"/>
      <c r="K65" s="27" t="s">
        <v>76</v>
      </c>
      <c r="L65" s="187" t="s">
        <v>23</v>
      </c>
      <c r="M65" s="262">
        <f>ROUND(E65/SUM(E$65:E$66)*100,1)</f>
        <v>38.1</v>
      </c>
      <c r="N65" s="262">
        <f t="shared" ref="N65:P66" si="15">ROUND(F65/SUM(F$65:F$66)*100,1)</f>
        <v>39.9</v>
      </c>
      <c r="O65" s="262">
        <f t="shared" si="15"/>
        <v>36</v>
      </c>
      <c r="P65" s="262">
        <f t="shared" si="15"/>
        <v>37.9</v>
      </c>
    </row>
    <row r="66" spans="2:16">
      <c r="D66" s="187" t="s">
        <v>64</v>
      </c>
      <c r="E66" s="71">
        <v>16221</v>
      </c>
      <c r="F66" s="71">
        <v>2998</v>
      </c>
      <c r="G66" s="71">
        <v>5532</v>
      </c>
      <c r="H66" s="71">
        <f t="shared" si="8"/>
        <v>24751</v>
      </c>
      <c r="J66" s="63"/>
      <c r="K66" s="27"/>
      <c r="L66" s="187" t="s">
        <v>64</v>
      </c>
      <c r="M66" s="262">
        <f>ROUND(E66/SUM(E$65:E$66)*100,1)</f>
        <v>61.9</v>
      </c>
      <c r="N66" s="262">
        <f t="shared" si="15"/>
        <v>60.1</v>
      </c>
      <c r="O66" s="262">
        <f t="shared" si="15"/>
        <v>64</v>
      </c>
      <c r="P66" s="262">
        <f t="shared" si="15"/>
        <v>62.1</v>
      </c>
    </row>
    <row r="67" spans="2:16">
      <c r="C67" s="21" t="s">
        <v>76</v>
      </c>
      <c r="D67" s="70" t="s">
        <v>23</v>
      </c>
      <c r="E67" s="71">
        <v>11455</v>
      </c>
      <c r="F67" s="71">
        <v>2711</v>
      </c>
      <c r="G67" s="71">
        <v>4826</v>
      </c>
      <c r="H67" s="71">
        <f t="shared" si="8"/>
        <v>18992</v>
      </c>
      <c r="J67" s="63"/>
      <c r="K67" s="80" t="s">
        <v>67</v>
      </c>
      <c r="L67" s="70" t="s">
        <v>23</v>
      </c>
      <c r="M67" s="262">
        <f t="shared" ref="M67:O68" si="16">ROUND(E67/SUM(E$67:E$68)*100,1)</f>
        <v>43.7</v>
      </c>
      <c r="N67" s="262">
        <f t="shared" si="16"/>
        <v>54.3</v>
      </c>
      <c r="O67" s="262">
        <f t="shared" si="16"/>
        <v>55.8</v>
      </c>
      <c r="P67" s="262">
        <f t="shared" si="9"/>
        <v>47.6</v>
      </c>
    </row>
    <row r="68" spans="2:16">
      <c r="D68" s="70" t="s">
        <v>64</v>
      </c>
      <c r="E68" s="71">
        <v>14764</v>
      </c>
      <c r="F68" s="71">
        <v>2280</v>
      </c>
      <c r="G68" s="71">
        <v>3823</v>
      </c>
      <c r="H68" s="71">
        <f t="shared" si="8"/>
        <v>20867</v>
      </c>
      <c r="J68" s="63"/>
      <c r="L68" s="70" t="s">
        <v>64</v>
      </c>
      <c r="M68" s="262">
        <f t="shared" si="16"/>
        <v>56.3</v>
      </c>
      <c r="N68" s="262">
        <f t="shared" si="16"/>
        <v>45.7</v>
      </c>
      <c r="O68" s="262">
        <f t="shared" si="16"/>
        <v>44.2</v>
      </c>
      <c r="P68" s="262">
        <f t="shared" si="9"/>
        <v>52.4</v>
      </c>
    </row>
    <row r="69" spans="2:16" ht="15.6">
      <c r="C69" s="81" t="s">
        <v>68</v>
      </c>
      <c r="D69" s="82">
        <v>0</v>
      </c>
      <c r="E69" s="71">
        <v>9895</v>
      </c>
      <c r="F69" s="71">
        <v>2234</v>
      </c>
      <c r="G69" s="71">
        <v>3825</v>
      </c>
      <c r="H69" s="71">
        <f t="shared" si="8"/>
        <v>15954</v>
      </c>
      <c r="J69" s="63"/>
      <c r="K69" s="81" t="s">
        <v>68</v>
      </c>
      <c r="L69" s="82">
        <v>0</v>
      </c>
      <c r="M69" s="262">
        <f>ROUND(E69/SUM(E$69:E$72)*100,1)</f>
        <v>37.700000000000003</v>
      </c>
      <c r="N69" s="262">
        <f>ROUND(F69/SUM(F$69:F$72)*100,1)</f>
        <v>44.8</v>
      </c>
      <c r="O69" s="262">
        <f>ROUND(G69/SUM(G$69:G$72)*100,1)</f>
        <v>44.2</v>
      </c>
      <c r="P69" s="262">
        <f t="shared" si="9"/>
        <v>40</v>
      </c>
    </row>
    <row r="70" spans="2:16">
      <c r="C70" s="83"/>
      <c r="D70" s="82">
        <v>1</v>
      </c>
      <c r="E70" s="71">
        <v>7647</v>
      </c>
      <c r="F70" s="71">
        <v>1417</v>
      </c>
      <c r="G70" s="71">
        <v>2518</v>
      </c>
      <c r="H70" s="71">
        <f t="shared" si="8"/>
        <v>11582</v>
      </c>
      <c r="J70" s="63"/>
      <c r="K70" s="83"/>
      <c r="L70" s="82">
        <v>1</v>
      </c>
      <c r="M70" s="262">
        <f t="shared" ref="M70:O72" si="17">ROUND(E70/SUM(E$69:E$72)*100,1)</f>
        <v>29.2</v>
      </c>
      <c r="N70" s="262">
        <f t="shared" si="17"/>
        <v>28.4</v>
      </c>
      <c r="O70" s="262">
        <f t="shared" si="17"/>
        <v>29.1</v>
      </c>
      <c r="P70" s="262">
        <f t="shared" si="9"/>
        <v>29.1</v>
      </c>
    </row>
    <row r="71" spans="2:16">
      <c r="D71" s="82">
        <v>2</v>
      </c>
      <c r="E71" s="71">
        <v>4734</v>
      </c>
      <c r="F71" s="71">
        <v>694</v>
      </c>
      <c r="G71" s="71">
        <v>1302</v>
      </c>
      <c r="H71" s="71">
        <f t="shared" si="8"/>
        <v>6730</v>
      </c>
      <c r="J71" s="63"/>
      <c r="L71" s="82">
        <v>2</v>
      </c>
      <c r="M71" s="262">
        <f t="shared" si="17"/>
        <v>18.100000000000001</v>
      </c>
      <c r="N71" s="262">
        <f t="shared" si="17"/>
        <v>13.9</v>
      </c>
      <c r="O71" s="262">
        <f t="shared" si="17"/>
        <v>15.1</v>
      </c>
      <c r="P71" s="262">
        <f t="shared" si="9"/>
        <v>16.899999999999999</v>
      </c>
    </row>
    <row r="72" spans="2:16">
      <c r="D72" s="82" t="s">
        <v>69</v>
      </c>
      <c r="E72" s="71">
        <v>3943</v>
      </c>
      <c r="F72" s="71">
        <v>646</v>
      </c>
      <c r="G72" s="71">
        <v>1004</v>
      </c>
      <c r="H72" s="71">
        <f t="shared" si="8"/>
        <v>5593</v>
      </c>
      <c r="J72" s="63"/>
      <c r="L72" s="82" t="s">
        <v>69</v>
      </c>
      <c r="M72" s="262">
        <f t="shared" si="17"/>
        <v>15</v>
      </c>
      <c r="N72" s="262">
        <f t="shared" si="17"/>
        <v>12.9</v>
      </c>
      <c r="O72" s="262">
        <f t="shared" si="17"/>
        <v>11.6</v>
      </c>
      <c r="P72" s="262">
        <f t="shared" si="9"/>
        <v>14</v>
      </c>
    </row>
    <row r="73" spans="2:16">
      <c r="C73" s="17" t="s">
        <v>70</v>
      </c>
      <c r="D73" s="82" t="s">
        <v>71</v>
      </c>
      <c r="E73" s="71">
        <v>1076</v>
      </c>
      <c r="F73" s="71">
        <v>208</v>
      </c>
      <c r="G73" s="71">
        <v>249</v>
      </c>
      <c r="H73" s="71">
        <f t="shared" si="8"/>
        <v>1533</v>
      </c>
      <c r="J73" s="63"/>
      <c r="K73" s="17" t="s">
        <v>70</v>
      </c>
      <c r="L73" s="82" t="s">
        <v>71</v>
      </c>
      <c r="M73" s="262">
        <f t="shared" ref="M73:O74" si="18">ROUND(E73/SUM(E$73:E$74) * 100, 1)</f>
        <v>4.0999999999999996</v>
      </c>
      <c r="N73" s="262">
        <f t="shared" si="18"/>
        <v>4.2</v>
      </c>
      <c r="O73" s="262">
        <f t="shared" si="18"/>
        <v>2.9</v>
      </c>
      <c r="P73" s="262">
        <f t="shared" si="9"/>
        <v>3.8</v>
      </c>
    </row>
    <row r="74" spans="2:16">
      <c r="B74" s="85"/>
      <c r="C74" s="86"/>
      <c r="D74" s="87" t="s">
        <v>72</v>
      </c>
      <c r="E74" s="77">
        <v>25143</v>
      </c>
      <c r="F74" s="77">
        <v>4783</v>
      </c>
      <c r="G74" s="77">
        <v>8400</v>
      </c>
      <c r="H74" s="71">
        <f t="shared" si="8"/>
        <v>38326</v>
      </c>
      <c r="J74" s="85"/>
      <c r="K74" s="86"/>
      <c r="L74" s="87" t="s">
        <v>72</v>
      </c>
      <c r="M74" s="262">
        <f t="shared" si="18"/>
        <v>95.9</v>
      </c>
      <c r="N74" s="262">
        <f t="shared" si="18"/>
        <v>95.8</v>
      </c>
      <c r="O74" s="262">
        <f t="shared" si="18"/>
        <v>97.1</v>
      </c>
      <c r="P74" s="262">
        <f t="shared" si="9"/>
        <v>96.2</v>
      </c>
    </row>
    <row r="75" spans="2:16">
      <c r="B75" s="546" t="s">
        <v>73</v>
      </c>
      <c r="C75" s="547"/>
      <c r="D75" s="82"/>
      <c r="E75" s="71"/>
      <c r="F75" s="71"/>
      <c r="G75" s="71"/>
      <c r="H75" s="71"/>
      <c r="J75" s="546" t="s">
        <v>73</v>
      </c>
      <c r="K75" s="547"/>
      <c r="L75" s="82"/>
      <c r="M75" s="262"/>
      <c r="N75" s="262"/>
      <c r="O75" s="262"/>
      <c r="P75" s="262"/>
    </row>
    <row r="76" spans="2:16">
      <c r="C76" s="113" t="s">
        <v>230</v>
      </c>
      <c r="D76" s="82" t="s">
        <v>23</v>
      </c>
      <c r="E76" s="71">
        <v>2919</v>
      </c>
      <c r="F76" s="71">
        <v>780</v>
      </c>
      <c r="G76" s="71">
        <v>1076</v>
      </c>
      <c r="H76" s="71">
        <f t="shared" si="8"/>
        <v>4775</v>
      </c>
      <c r="J76" s="63"/>
      <c r="K76" s="17" t="s">
        <v>26</v>
      </c>
      <c r="L76" s="70" t="s">
        <v>23</v>
      </c>
      <c r="M76" s="262">
        <f>ROUND(E76/SUM(E$76:E$78)*100, 1)</f>
        <v>11.1</v>
      </c>
      <c r="N76" s="262">
        <f>ROUND(F76/SUM(F$76:F$78)*100, 1)</f>
        <v>15.6</v>
      </c>
      <c r="O76" s="262">
        <f>ROUND(G76/SUM(G$76:G$78)*100, 1)</f>
        <v>12.4</v>
      </c>
      <c r="P76" s="262">
        <f t="shared" si="9"/>
        <v>12</v>
      </c>
    </row>
    <row r="77" spans="2:16">
      <c r="C77" s="64"/>
      <c r="D77" s="82" t="s">
        <v>27</v>
      </c>
      <c r="E77" s="71">
        <v>13025</v>
      </c>
      <c r="F77" s="71">
        <v>2697</v>
      </c>
      <c r="G77" s="71">
        <v>4019</v>
      </c>
      <c r="H77" s="71">
        <f t="shared" si="8"/>
        <v>19741</v>
      </c>
      <c r="J77" s="63"/>
      <c r="L77" s="70" t="s">
        <v>27</v>
      </c>
      <c r="M77" s="262">
        <f t="shared" ref="M77:O78" si="19">ROUND(E77/SUM(E$76:E$78)*100, 1)</f>
        <v>49.7</v>
      </c>
      <c r="N77" s="262">
        <f t="shared" si="19"/>
        <v>54</v>
      </c>
      <c r="O77" s="262">
        <f t="shared" si="19"/>
        <v>46.5</v>
      </c>
      <c r="P77" s="262">
        <f t="shared" si="9"/>
        <v>49.5</v>
      </c>
    </row>
    <row r="78" spans="2:16">
      <c r="C78" s="64"/>
      <c r="D78" s="82" t="s">
        <v>10</v>
      </c>
      <c r="E78" s="71">
        <v>10275</v>
      </c>
      <c r="F78" s="71">
        <v>1514</v>
      </c>
      <c r="G78" s="71">
        <v>3554</v>
      </c>
      <c r="H78" s="71">
        <f t="shared" si="8"/>
        <v>15343</v>
      </c>
      <c r="J78" s="63"/>
      <c r="L78" s="70" t="s">
        <v>10</v>
      </c>
      <c r="M78" s="262">
        <f t="shared" si="19"/>
        <v>39.200000000000003</v>
      </c>
      <c r="N78" s="262">
        <f t="shared" si="19"/>
        <v>30.3</v>
      </c>
      <c r="O78" s="262">
        <f t="shared" si="19"/>
        <v>41.1</v>
      </c>
      <c r="P78" s="262">
        <f t="shared" si="9"/>
        <v>38.5</v>
      </c>
    </row>
    <row r="79" spans="2:16">
      <c r="C79" s="17" t="s">
        <v>26</v>
      </c>
      <c r="D79" s="70" t="s">
        <v>23</v>
      </c>
      <c r="E79" s="71">
        <v>6968</v>
      </c>
      <c r="F79" s="71">
        <v>1683</v>
      </c>
      <c r="G79" s="71">
        <v>2731</v>
      </c>
      <c r="H79" s="71">
        <f t="shared" si="8"/>
        <v>11382</v>
      </c>
      <c r="J79" s="63"/>
      <c r="K79" s="17" t="s">
        <v>28</v>
      </c>
      <c r="L79" s="82" t="s">
        <v>23</v>
      </c>
      <c r="M79" s="262">
        <f>ROUND(E79/SUM(E$79:E$81)*100,1)</f>
        <v>26.6</v>
      </c>
      <c r="N79" s="262">
        <f>ROUND(F79/SUM(F$79:F$81)*100,1)</f>
        <v>33.700000000000003</v>
      </c>
      <c r="O79" s="262">
        <f>ROUND(G79/SUM(G$79:G$81)*100,1)</f>
        <v>31.6</v>
      </c>
      <c r="P79" s="262">
        <f t="shared" si="9"/>
        <v>28.6</v>
      </c>
    </row>
    <row r="80" spans="2:16">
      <c r="D80" s="70" t="s">
        <v>27</v>
      </c>
      <c r="E80" s="71">
        <v>15282</v>
      </c>
      <c r="F80" s="71">
        <v>2794</v>
      </c>
      <c r="G80" s="71">
        <v>4993</v>
      </c>
      <c r="H80" s="71">
        <f t="shared" si="8"/>
        <v>23069</v>
      </c>
      <c r="J80" s="63"/>
      <c r="L80" s="82" t="s">
        <v>27</v>
      </c>
      <c r="M80" s="262">
        <f t="shared" ref="M80:O81" si="20">ROUND(E80/SUM(E$79:E$81)*100,1)</f>
        <v>58.3</v>
      </c>
      <c r="N80" s="262">
        <f t="shared" si="20"/>
        <v>56</v>
      </c>
      <c r="O80" s="262">
        <f t="shared" si="20"/>
        <v>57.7</v>
      </c>
      <c r="P80" s="262">
        <f t="shared" si="9"/>
        <v>57.9</v>
      </c>
    </row>
    <row r="81" spans="3:16">
      <c r="D81" s="70" t="s">
        <v>10</v>
      </c>
      <c r="E81" s="71">
        <v>3969</v>
      </c>
      <c r="F81" s="71">
        <v>514</v>
      </c>
      <c r="G81" s="71">
        <v>925</v>
      </c>
      <c r="H81" s="71">
        <f t="shared" si="8"/>
        <v>5408</v>
      </c>
      <c r="J81" s="63"/>
      <c r="L81" s="82" t="s">
        <v>10</v>
      </c>
      <c r="M81" s="262">
        <f t="shared" si="20"/>
        <v>15.1</v>
      </c>
      <c r="N81" s="262">
        <f t="shared" si="20"/>
        <v>10.3</v>
      </c>
      <c r="O81" s="262">
        <f t="shared" si="20"/>
        <v>10.7</v>
      </c>
      <c r="P81" s="262">
        <f t="shared" si="9"/>
        <v>13.6</v>
      </c>
    </row>
    <row r="82" spans="3:16">
      <c r="C82" s="17" t="s">
        <v>229</v>
      </c>
      <c r="D82" s="82" t="s">
        <v>23</v>
      </c>
      <c r="E82" s="71">
        <v>19170</v>
      </c>
      <c r="F82" s="71">
        <v>3526</v>
      </c>
      <c r="G82" s="71">
        <v>5561</v>
      </c>
      <c r="H82" s="71">
        <f t="shared" si="8"/>
        <v>28257</v>
      </c>
      <c r="J82" s="63"/>
      <c r="K82" s="17" t="s">
        <v>29</v>
      </c>
      <c r="L82" s="82" t="s">
        <v>23</v>
      </c>
      <c r="M82" s="262">
        <f>ROUND(E82/SUM(E$82:E$84) * 100,1)</f>
        <v>73.099999999999994</v>
      </c>
      <c r="N82" s="262">
        <f>ROUND(F82/SUM(F$82:F$84) * 100,1)</f>
        <v>70.599999999999994</v>
      </c>
      <c r="O82" s="262">
        <f>ROUND(G82/SUM(G$82:G$84) * 100,1)</f>
        <v>64.3</v>
      </c>
      <c r="P82" s="262">
        <f t="shared" si="9"/>
        <v>70.900000000000006</v>
      </c>
    </row>
    <row r="83" spans="3:16">
      <c r="D83" s="82" t="s">
        <v>27</v>
      </c>
      <c r="E83" s="71">
        <v>2627</v>
      </c>
      <c r="F83" s="71">
        <v>782</v>
      </c>
      <c r="G83" s="71">
        <v>893</v>
      </c>
      <c r="H83" s="71">
        <f t="shared" si="8"/>
        <v>4302</v>
      </c>
      <c r="J83" s="63"/>
      <c r="L83" s="82" t="s">
        <v>27</v>
      </c>
      <c r="M83" s="262">
        <f t="shared" ref="M83:O84" si="21">ROUND(E83/SUM(E$82:E$84) * 100,1)</f>
        <v>10</v>
      </c>
      <c r="N83" s="262">
        <f t="shared" si="21"/>
        <v>15.7</v>
      </c>
      <c r="O83" s="262">
        <f t="shared" si="21"/>
        <v>10.3</v>
      </c>
      <c r="P83" s="262">
        <f t="shared" si="9"/>
        <v>10.8</v>
      </c>
    </row>
    <row r="84" spans="3:16">
      <c r="D84" s="82" t="s">
        <v>10</v>
      </c>
      <c r="E84" s="71">
        <v>4422</v>
      </c>
      <c r="F84" s="71">
        <v>683</v>
      </c>
      <c r="G84" s="71">
        <v>2195</v>
      </c>
      <c r="H84" s="71">
        <f t="shared" si="8"/>
        <v>7300</v>
      </c>
      <c r="J84" s="63"/>
      <c r="L84" s="82" t="s">
        <v>10</v>
      </c>
      <c r="M84" s="262">
        <f t="shared" si="21"/>
        <v>16.899999999999999</v>
      </c>
      <c r="N84" s="262">
        <f t="shared" si="21"/>
        <v>13.7</v>
      </c>
      <c r="O84" s="262">
        <f t="shared" si="21"/>
        <v>25.4</v>
      </c>
      <c r="P84" s="262">
        <f t="shared" si="9"/>
        <v>18.3</v>
      </c>
    </row>
    <row r="85" spans="3:16" ht="16.8">
      <c r="C85" s="17" t="s">
        <v>231</v>
      </c>
      <c r="D85" s="82" t="s">
        <v>23</v>
      </c>
      <c r="E85" s="71">
        <v>8346</v>
      </c>
      <c r="F85" s="71">
        <v>2020</v>
      </c>
      <c r="G85" s="71">
        <v>3480</v>
      </c>
      <c r="H85" s="71">
        <f t="shared" si="8"/>
        <v>13846</v>
      </c>
      <c r="J85" s="63"/>
      <c r="K85" s="113" t="s">
        <v>91</v>
      </c>
      <c r="L85" s="82" t="s">
        <v>23</v>
      </c>
      <c r="M85" s="262">
        <f>ROUND(E85/SUM(E$85:E$87) * 100,1)</f>
        <v>31.8</v>
      </c>
      <c r="N85" s="262">
        <f>ROUND(F85/SUM(F$85:F$87) * 100,1)</f>
        <v>40.5</v>
      </c>
      <c r="O85" s="262">
        <f>ROUND(G85/SUM(G$85:G$87) * 100,1)</f>
        <v>40.200000000000003</v>
      </c>
      <c r="P85" s="262">
        <f t="shared" si="9"/>
        <v>34.700000000000003</v>
      </c>
    </row>
    <row r="86" spans="3:16">
      <c r="D86" s="82" t="s">
        <v>27</v>
      </c>
      <c r="E86" s="71">
        <v>15720</v>
      </c>
      <c r="F86" s="71">
        <v>2683</v>
      </c>
      <c r="G86" s="71">
        <v>4658</v>
      </c>
      <c r="H86" s="71">
        <f t="shared" si="8"/>
        <v>23061</v>
      </c>
      <c r="J86" s="63"/>
      <c r="K86" s="64"/>
      <c r="L86" s="82" t="s">
        <v>27</v>
      </c>
      <c r="M86" s="262">
        <f t="shared" ref="M86:O87" si="22">ROUND(E86/SUM(E$85:E$87) * 100,1)</f>
        <v>60</v>
      </c>
      <c r="N86" s="262">
        <f t="shared" si="22"/>
        <v>53.8</v>
      </c>
      <c r="O86" s="262">
        <f t="shared" si="22"/>
        <v>53.9</v>
      </c>
      <c r="P86" s="262">
        <f t="shared" si="9"/>
        <v>57.9</v>
      </c>
    </row>
    <row r="87" spans="3:16">
      <c r="C87" s="42"/>
      <c r="D87" s="89" t="s">
        <v>10</v>
      </c>
      <c r="E87" s="90">
        <v>2153</v>
      </c>
      <c r="F87" s="90">
        <v>288</v>
      </c>
      <c r="G87" s="90">
        <v>511</v>
      </c>
      <c r="H87" s="90">
        <f t="shared" si="8"/>
        <v>2952</v>
      </c>
      <c r="J87" s="63"/>
      <c r="K87" s="92"/>
      <c r="L87" s="89" t="s">
        <v>10</v>
      </c>
      <c r="M87" s="265">
        <f t="shared" si="22"/>
        <v>8.1999999999999993</v>
      </c>
      <c r="N87" s="265">
        <f t="shared" si="22"/>
        <v>5.8</v>
      </c>
      <c r="O87" s="265">
        <f t="shared" si="22"/>
        <v>5.9</v>
      </c>
      <c r="P87" s="265">
        <f t="shared" si="9"/>
        <v>7.4</v>
      </c>
    </row>
  </sheetData>
  <mergeCells count="14">
    <mergeCell ref="B75:C75"/>
    <mergeCell ref="J75:K75"/>
    <mergeCell ref="B46:C46"/>
    <mergeCell ref="J46:K46"/>
    <mergeCell ref="B51:C51"/>
    <mergeCell ref="J51:K51"/>
    <mergeCell ref="B62:C62"/>
    <mergeCell ref="J62:K62"/>
    <mergeCell ref="M43:P43"/>
    <mergeCell ref="B5:C5"/>
    <mergeCell ref="B10:C10"/>
    <mergeCell ref="B18:C18"/>
    <mergeCell ref="B31:C31"/>
    <mergeCell ref="E43:H4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N99"/>
  <sheetViews>
    <sheetView topLeftCell="A34" zoomScale="85" zoomScaleNormal="85" workbookViewId="0">
      <selection activeCell="I19" sqref="I19"/>
    </sheetView>
  </sheetViews>
  <sheetFormatPr defaultColWidth="9" defaultRowHeight="14.4"/>
  <cols>
    <col min="1" max="1" width="5.6640625" style="17" customWidth="1"/>
    <col min="2" max="2" width="1.21875" style="63" customWidth="1"/>
    <col min="3" max="3" width="13" style="17" customWidth="1"/>
    <col min="4" max="4" width="10.77734375" style="63" bestFit="1" customWidth="1"/>
    <col min="5" max="5" width="12.44140625" style="72" customWidth="1"/>
    <col min="6" max="8" width="12.6640625" style="17" customWidth="1"/>
    <col min="9" max="9" width="28" style="62" bestFit="1" customWidth="1"/>
    <col min="10" max="10" width="9" style="17"/>
    <col min="11" max="11" width="9.88671875" style="17" bestFit="1" customWidth="1"/>
    <col min="12" max="12" width="9" style="17" customWidth="1"/>
    <col min="13" max="13" width="11.77734375" style="17" customWidth="1"/>
    <col min="14" max="14" width="13.44140625" style="17" customWidth="1"/>
    <col min="15" max="15" width="10" style="17" customWidth="1"/>
    <col min="16" max="16" width="11.77734375" style="17" customWidth="1"/>
    <col min="17" max="17" width="7.109375" style="17" customWidth="1"/>
    <col min="18" max="19" width="6.33203125" style="17" customWidth="1"/>
    <col min="20" max="20" width="6.44140625" style="17" customWidth="1"/>
    <col min="21" max="21" width="6.33203125" style="17" customWidth="1"/>
    <col min="22" max="22" width="7.109375" style="17" customWidth="1"/>
    <col min="23" max="16384" width="9" style="17"/>
  </cols>
  <sheetData>
    <row r="2" spans="2:11" ht="17.100000000000001" customHeight="1">
      <c r="B2" s="60"/>
      <c r="C2" s="61"/>
      <c r="D2" s="60"/>
      <c r="E2" s="507" t="s">
        <v>46</v>
      </c>
      <c r="F2" s="507"/>
      <c r="G2" s="507"/>
      <c r="H2" s="507"/>
      <c r="I2" s="154" t="s">
        <v>92</v>
      </c>
      <c r="J2" s="156" t="s">
        <v>101</v>
      </c>
    </row>
    <row r="3" spans="2:11" ht="16.95" customHeight="1">
      <c r="E3" s="64" t="s">
        <v>23</v>
      </c>
      <c r="F3" s="64" t="s">
        <v>6</v>
      </c>
      <c r="G3" s="64" t="s">
        <v>7</v>
      </c>
      <c r="H3" s="64" t="s">
        <v>47</v>
      </c>
      <c r="I3" s="155" t="s">
        <v>93</v>
      </c>
    </row>
    <row r="4" spans="2:11" ht="16.95" customHeight="1" thickBot="1">
      <c r="B4" s="65"/>
      <c r="C4" s="66"/>
      <c r="D4" s="66"/>
      <c r="E4" s="67" t="s">
        <v>48</v>
      </c>
      <c r="F4" s="66" t="s">
        <v>48</v>
      </c>
      <c r="G4" s="66" t="s">
        <v>48</v>
      </c>
      <c r="H4" s="66" t="s">
        <v>48</v>
      </c>
      <c r="I4" s="135" t="s">
        <v>94</v>
      </c>
    </row>
    <row r="5" spans="2:11" ht="17.100000000000001" customHeight="1" thickTop="1">
      <c r="B5" s="549" t="s">
        <v>49</v>
      </c>
      <c r="C5" s="550"/>
      <c r="D5" s="68"/>
      <c r="E5" s="69"/>
      <c r="F5" s="64"/>
      <c r="G5" s="64"/>
      <c r="H5" s="64"/>
      <c r="I5" s="135" t="s">
        <v>95</v>
      </c>
    </row>
    <row r="6" spans="2:11" ht="16.95" customHeight="1">
      <c r="C6" s="17" t="s">
        <v>50</v>
      </c>
      <c r="D6" s="70" t="s">
        <v>51</v>
      </c>
      <c r="E6" s="71" t="str">
        <f t="shared" ref="E6:H9" si="0">CONCATENATE(TEXT(E59,"#,000"), "(", TEXT(M59,"#.0"), ")")</f>
        <v>12,633(48.2)</v>
      </c>
      <c r="F6" s="71" t="str">
        <f t="shared" si="0"/>
        <v>2,946(59.0)</v>
      </c>
      <c r="G6" s="71" t="str">
        <f t="shared" si="0"/>
        <v>4,930(57.0)</v>
      </c>
      <c r="H6" s="71" t="str">
        <f t="shared" si="0"/>
        <v>20,509(51.5)</v>
      </c>
      <c r="I6" s="116">
        <v>20509</v>
      </c>
      <c r="J6" s="72"/>
      <c r="K6" s="72"/>
    </row>
    <row r="7" spans="2:11" ht="17.100000000000001" customHeight="1">
      <c r="D7" s="70" t="s">
        <v>52</v>
      </c>
      <c r="E7" s="71" t="str">
        <f t="shared" si="0"/>
        <v>13,586(51.8)</v>
      </c>
      <c r="F7" s="71" t="str">
        <f t="shared" si="0"/>
        <v>2,045(41.0)</v>
      </c>
      <c r="G7" s="71" t="str">
        <f t="shared" si="0"/>
        <v>3,719(43.0)</v>
      </c>
      <c r="H7" s="71" t="str">
        <f t="shared" si="0"/>
        <v>19,350(48.5)</v>
      </c>
      <c r="I7" s="27">
        <v>19350</v>
      </c>
    </row>
    <row r="8" spans="2:11" ht="16.95" customHeight="1">
      <c r="B8" s="73"/>
      <c r="C8" s="74" t="s">
        <v>53</v>
      </c>
      <c r="D8" s="29" t="s">
        <v>54</v>
      </c>
      <c r="E8" s="71" t="str">
        <f t="shared" si="0"/>
        <v>18,950(72.3)</v>
      </c>
      <c r="F8" s="71" t="str">
        <f t="shared" si="0"/>
        <v>3,898(78.1)</v>
      </c>
      <c r="G8" s="71" t="str">
        <f t="shared" si="0"/>
        <v>6,983(80.7)</v>
      </c>
      <c r="H8" s="71" t="str">
        <f t="shared" si="0"/>
        <v>29,831(74.8)</v>
      </c>
      <c r="I8" s="72">
        <f>29831-18950</f>
        <v>10881</v>
      </c>
      <c r="J8" s="17">
        <v>29831</v>
      </c>
      <c r="K8" s="17">
        <f>I8/J8</f>
        <v>0.36475478529046962</v>
      </c>
    </row>
    <row r="9" spans="2:11" ht="16.95" customHeight="1">
      <c r="B9" s="73"/>
      <c r="C9" s="75"/>
      <c r="D9" s="76" t="s">
        <v>55</v>
      </c>
      <c r="E9" s="77" t="str">
        <f t="shared" si="0"/>
        <v>7,269(27.7)</v>
      </c>
      <c r="F9" s="77" t="str">
        <f t="shared" si="0"/>
        <v>1,093(21.9)</v>
      </c>
      <c r="G9" s="77" t="str">
        <f t="shared" si="0"/>
        <v>1,666(19.3)</v>
      </c>
      <c r="H9" s="77" t="str">
        <f t="shared" si="0"/>
        <v>10,028(25.2)</v>
      </c>
      <c r="I9" s="17">
        <f>10028-7269</f>
        <v>2759</v>
      </c>
      <c r="J9" s="17">
        <v>10028</v>
      </c>
      <c r="K9" s="17">
        <f>I9/J9</f>
        <v>0.27512963701635423</v>
      </c>
    </row>
    <row r="10" spans="2:11" ht="16.95" customHeight="1">
      <c r="B10" s="551" t="s">
        <v>56</v>
      </c>
      <c r="C10" s="547"/>
      <c r="D10" s="70"/>
      <c r="E10" s="103"/>
      <c r="F10" s="103"/>
      <c r="G10" s="103"/>
      <c r="H10" s="71"/>
      <c r="I10" s="17"/>
    </row>
    <row r="11" spans="2:11" ht="16.95" customHeight="1">
      <c r="C11" s="17" t="s">
        <v>57</v>
      </c>
      <c r="D11" s="70" t="s">
        <v>58</v>
      </c>
      <c r="E11" s="71" t="str">
        <f t="shared" ref="E11:H13" si="1">CONCATENATE(TEXT(E64,"#,000"), "(", TEXT(M64,"#.0"), ")")</f>
        <v>14,724(56.2)</v>
      </c>
      <c r="F11" s="71" t="str">
        <f t="shared" si="1"/>
        <v>2,527(50.6)</v>
      </c>
      <c r="G11" s="71" t="str">
        <f t="shared" si="1"/>
        <v>4,112(47.5)</v>
      </c>
      <c r="H11" s="71" t="str">
        <f t="shared" si="1"/>
        <v>21,363(53.6)</v>
      </c>
      <c r="I11" s="17"/>
    </row>
    <row r="12" spans="2:11" ht="16.95" customHeight="1">
      <c r="C12" s="59"/>
      <c r="D12" s="70" t="s">
        <v>59</v>
      </c>
      <c r="E12" s="71" t="str">
        <f t="shared" si="1"/>
        <v>11,495(43.8)</v>
      </c>
      <c r="F12" s="71" t="str">
        <f t="shared" si="1"/>
        <v>2,464(49.4)</v>
      </c>
      <c r="G12" s="71" t="str">
        <f t="shared" si="1"/>
        <v>4,537(52.5)</v>
      </c>
      <c r="H12" s="71" t="str">
        <f t="shared" si="1"/>
        <v>18,496(46.4)</v>
      </c>
      <c r="I12" s="17"/>
    </row>
    <row r="13" spans="2:11" s="27" customFormat="1" ht="16.95" customHeight="1">
      <c r="B13" s="73"/>
      <c r="C13" s="21" t="s">
        <v>60</v>
      </c>
      <c r="D13" s="29" t="s">
        <v>61</v>
      </c>
      <c r="E13" s="71" t="str">
        <f t="shared" si="1"/>
        <v>22,082(84.2)</v>
      </c>
      <c r="F13" s="71" t="str">
        <f t="shared" si="1"/>
        <v>4,096(82.1)</v>
      </c>
      <c r="G13" s="71" t="str">
        <f t="shared" si="1"/>
        <v>7,398(85.5)</v>
      </c>
      <c r="H13" s="71" t="str">
        <f t="shared" si="1"/>
        <v>33,576(84.2)</v>
      </c>
    </row>
    <row r="14" spans="2:11" s="27" customFormat="1" ht="16.95" customHeight="1">
      <c r="B14" s="73"/>
      <c r="C14" s="21"/>
      <c r="D14" s="29" t="s">
        <v>62</v>
      </c>
      <c r="E14" s="71" t="str">
        <f>CONCATENATE(TEXT(E67,"#,000"), "(", TEXT(M67,"#.0"), ")")</f>
        <v>4,137(15.8)</v>
      </c>
      <c r="F14" s="71" t="str">
        <f t="shared" ref="F14:H18" si="2">CONCATENATE(TEXT(F67,"#,000"), "(", TEXT(N67,"#.0"), ")")</f>
        <v>895(17.9)</v>
      </c>
      <c r="G14" s="71" t="str">
        <f t="shared" si="2"/>
        <v>1,251(14.5)</v>
      </c>
      <c r="H14" s="71" t="str">
        <f t="shared" si="2"/>
        <v>6,283(15.8)</v>
      </c>
    </row>
    <row r="15" spans="2:11" s="27" customFormat="1" ht="16.95" customHeight="1">
      <c r="B15" s="73"/>
      <c r="C15" s="27" t="s">
        <v>173</v>
      </c>
      <c r="D15" s="187" t="s">
        <v>23</v>
      </c>
      <c r="E15" s="71" t="str">
        <f t="shared" ref="E15:E18" si="3">CONCATENATE(TEXT(E68,"#,000"), "(", TEXT(M68,"#.0"), ")")</f>
        <v>16,997(64.8)</v>
      </c>
      <c r="F15" s="71" t="str">
        <f t="shared" si="2"/>
        <v>2,943(59.0)</v>
      </c>
      <c r="G15" s="71" t="str">
        <f t="shared" si="2"/>
        <v>5,231(60.5)</v>
      </c>
      <c r="H15" s="71" t="str">
        <f t="shared" si="2"/>
        <v>25,171(63.2)</v>
      </c>
    </row>
    <row r="16" spans="2:11" s="27" customFormat="1" ht="16.95" customHeight="1">
      <c r="B16" s="73"/>
      <c r="D16" s="187" t="s">
        <v>64</v>
      </c>
      <c r="E16" s="71" t="str">
        <f t="shared" si="3"/>
        <v>9,222(35.2)</v>
      </c>
      <c r="F16" s="71" t="str">
        <f t="shared" si="2"/>
        <v>2,048(41.0)</v>
      </c>
      <c r="G16" s="71" t="str">
        <f t="shared" si="2"/>
        <v>3,418(39.5)</v>
      </c>
      <c r="H16" s="71" t="str">
        <f t="shared" si="2"/>
        <v>14,688(36.8)</v>
      </c>
    </row>
    <row r="17" spans="2:9" s="27" customFormat="1" ht="16.95" customHeight="1">
      <c r="B17" s="73"/>
      <c r="C17" s="27" t="s">
        <v>165</v>
      </c>
      <c r="D17" s="187" t="s">
        <v>23</v>
      </c>
      <c r="E17" s="71" t="str">
        <f t="shared" si="3"/>
        <v>18,421(70.3)</v>
      </c>
      <c r="F17" s="71" t="str">
        <f t="shared" si="2"/>
        <v>3,006(60.2)</v>
      </c>
      <c r="G17" s="71" t="str">
        <f t="shared" si="2"/>
        <v>5,128(59.3)</v>
      </c>
      <c r="H17" s="71" t="str">
        <f t="shared" si="2"/>
        <v>26,555(66.6)</v>
      </c>
    </row>
    <row r="18" spans="2:9" s="27" customFormat="1" ht="16.95" customHeight="1">
      <c r="B18" s="73"/>
      <c r="C18" s="21"/>
      <c r="D18" s="29" t="s">
        <v>64</v>
      </c>
      <c r="E18" s="71" t="str">
        <f t="shared" si="3"/>
        <v>7,798(29.7)</v>
      </c>
      <c r="F18" s="71" t="str">
        <f t="shared" si="2"/>
        <v>1,985(39.8)</v>
      </c>
      <c r="G18" s="71" t="str">
        <f t="shared" si="2"/>
        <v>3,521(40.7)</v>
      </c>
      <c r="H18" s="71" t="str">
        <f t="shared" si="2"/>
        <v>13,304(33.4)</v>
      </c>
    </row>
    <row r="19" spans="2:9" ht="16.95" customHeight="1">
      <c r="C19" s="17" t="s">
        <v>63</v>
      </c>
      <c r="D19" s="70" t="s">
        <v>23</v>
      </c>
      <c r="E19" s="71" t="str">
        <f>CONCATENATE(TEXT(E72,"#,000"), "(", TEXT(M72,"#.0"), ")")</f>
        <v>10,857(41.4)</v>
      </c>
      <c r="F19" s="71" t="str">
        <f>CONCATENATE(TEXT(F72,"#,000"), "(", TEXT(N72,"#.0"), ")")</f>
        <v>1,956(39.2)</v>
      </c>
      <c r="G19" s="71" t="str">
        <f>CONCATENATE(TEXT(G72,"#,000"), "(", TEXT(O72,"#.0"), ")")</f>
        <v>3,078(35.6)</v>
      </c>
      <c r="H19" s="71" t="str">
        <f>CONCATENATE(TEXT(H72,"#,000"), "(", TEXT(P72,"#.0"), ")")</f>
        <v>15,891(39.9)</v>
      </c>
      <c r="I19" s="17"/>
    </row>
    <row r="20" spans="2:9" ht="16.95" customHeight="1">
      <c r="D20" s="79" t="s">
        <v>64</v>
      </c>
      <c r="E20" s="77" t="str">
        <f>CONCATENATE(TEXT(E73,"#,000"), "(", TEXT(M73,"#.0"), ")")</f>
        <v>15,362(58.6)</v>
      </c>
      <c r="F20" s="77" t="str">
        <f t="shared" ref="F20:H25" si="4">CONCATENATE(TEXT(F73,"#,000"), "(", TEXT(N73,"#.0"), ")")</f>
        <v>3,035(60.8)</v>
      </c>
      <c r="G20" s="77" t="str">
        <f t="shared" si="4"/>
        <v>5,571(64.4)</v>
      </c>
      <c r="H20" s="77" t="str">
        <f t="shared" si="4"/>
        <v>23,968(60.1)</v>
      </c>
      <c r="I20" s="17"/>
    </row>
    <row r="21" spans="2:9" ht="16.95" customHeight="1">
      <c r="B21" s="551" t="s">
        <v>65</v>
      </c>
      <c r="C21" s="552"/>
      <c r="D21" s="70"/>
      <c r="E21" s="71"/>
      <c r="F21" s="71"/>
      <c r="G21" s="71"/>
      <c r="H21" s="71"/>
      <c r="I21" s="17"/>
    </row>
    <row r="22" spans="2:9" ht="16.95" customHeight="1">
      <c r="C22" s="80" t="s">
        <v>66</v>
      </c>
      <c r="D22" s="70" t="s">
        <v>23</v>
      </c>
      <c r="E22" s="71" t="str">
        <f t="shared" ref="E22:E33" si="5">CONCATENATE(TEXT(E75,"#,000"), "(", TEXT(M75,"#.0"), ")")</f>
        <v>24,871(94.9)</v>
      </c>
      <c r="F22" s="71" t="str">
        <f t="shared" si="4"/>
        <v>4,781(95.8)</v>
      </c>
      <c r="G22" s="71" t="str">
        <f t="shared" si="4"/>
        <v>8,383(96.9)</v>
      </c>
      <c r="H22" s="71" t="str">
        <f t="shared" si="4"/>
        <v>38,035(95.4)</v>
      </c>
      <c r="I22" s="17"/>
    </row>
    <row r="23" spans="2:9" ht="16.95" customHeight="1">
      <c r="D23" s="70" t="s">
        <v>64</v>
      </c>
      <c r="E23" s="71" t="str">
        <f t="shared" si="5"/>
        <v>1,348(5.1)</v>
      </c>
      <c r="F23" s="71" t="str">
        <f t="shared" si="4"/>
        <v>210(4.2)</v>
      </c>
      <c r="G23" s="71" t="str">
        <f t="shared" si="4"/>
        <v>266(3.1)</v>
      </c>
      <c r="H23" s="71" t="str">
        <f t="shared" si="4"/>
        <v>1,824(4.6)</v>
      </c>
    </row>
    <row r="24" spans="2:9" ht="16.95" customHeight="1">
      <c r="C24" s="80" t="s">
        <v>67</v>
      </c>
      <c r="D24" s="29" t="s">
        <v>23</v>
      </c>
      <c r="E24" s="259" t="str">
        <f t="shared" si="5"/>
        <v>9,998(38.1)</v>
      </c>
      <c r="F24" s="259" t="str">
        <f t="shared" si="4"/>
        <v>1,993(39.9)</v>
      </c>
      <c r="G24" s="259" t="str">
        <f t="shared" si="4"/>
        <v>3,117(36.0)</v>
      </c>
      <c r="H24" s="259" t="str">
        <f t="shared" si="4"/>
        <v>15,108(37.9)</v>
      </c>
    </row>
    <row r="25" spans="2:9" ht="16.95" customHeight="1">
      <c r="D25" s="29" t="s">
        <v>64</v>
      </c>
      <c r="E25" s="259" t="str">
        <f t="shared" si="5"/>
        <v>16,221(61.9)</v>
      </c>
      <c r="F25" s="259" t="str">
        <f t="shared" si="4"/>
        <v>2,998(60.1)</v>
      </c>
      <c r="G25" s="259" t="str">
        <f t="shared" si="4"/>
        <v>5,532(64.0)</v>
      </c>
      <c r="H25" s="259" t="str">
        <f t="shared" si="4"/>
        <v>24,751(62.1)</v>
      </c>
    </row>
    <row r="26" spans="2:9" ht="16.95" customHeight="1">
      <c r="C26" s="21" t="s">
        <v>76</v>
      </c>
      <c r="D26" s="70" t="s">
        <v>23</v>
      </c>
      <c r="E26" s="71" t="str">
        <f t="shared" si="5"/>
        <v>11,455(43.7)</v>
      </c>
      <c r="F26" s="71" t="str">
        <f t="shared" ref="F26:H33" si="6">CONCATENATE(TEXT(F79,"#,000"), "(", TEXT(N79,"#.0"), ")")</f>
        <v>2,711(54.3)</v>
      </c>
      <c r="G26" s="71" t="str">
        <f t="shared" si="6"/>
        <v>4,826(55.8)</v>
      </c>
      <c r="H26" s="71" t="str">
        <f t="shared" si="6"/>
        <v>18,992(47.6)</v>
      </c>
    </row>
    <row r="27" spans="2:9" ht="16.95" customHeight="1">
      <c r="D27" s="70" t="s">
        <v>64</v>
      </c>
      <c r="E27" s="71" t="str">
        <f t="shared" si="5"/>
        <v>14,764(56.3)</v>
      </c>
      <c r="F27" s="71" t="str">
        <f t="shared" si="6"/>
        <v>2,280(45.7)</v>
      </c>
      <c r="G27" s="71" t="str">
        <f t="shared" si="6"/>
        <v>3,823(44.2)</v>
      </c>
      <c r="H27" s="71" t="str">
        <f t="shared" si="6"/>
        <v>20,867(52.4)</v>
      </c>
    </row>
    <row r="28" spans="2:9" ht="16.95" customHeight="1">
      <c r="C28" s="81" t="s">
        <v>68</v>
      </c>
      <c r="D28" s="82">
        <v>0</v>
      </c>
      <c r="E28" s="71" t="str">
        <f t="shared" si="5"/>
        <v>9,895(37.7)</v>
      </c>
      <c r="F28" s="71" t="str">
        <f t="shared" si="6"/>
        <v>2,234(44.8)</v>
      </c>
      <c r="G28" s="71" t="str">
        <f t="shared" si="6"/>
        <v>3,825(44.2)</v>
      </c>
      <c r="H28" s="71" t="str">
        <f t="shared" si="6"/>
        <v>15,954(40.0)</v>
      </c>
    </row>
    <row r="29" spans="2:9" ht="16.95" customHeight="1">
      <c r="C29" s="83"/>
      <c r="D29" s="82">
        <v>1</v>
      </c>
      <c r="E29" s="71" t="str">
        <f t="shared" si="5"/>
        <v>7,647(29.2)</v>
      </c>
      <c r="F29" s="71" t="str">
        <f t="shared" si="6"/>
        <v>1,417(28.4)</v>
      </c>
      <c r="G29" s="71" t="str">
        <f t="shared" si="6"/>
        <v>2,518(29.1)</v>
      </c>
      <c r="H29" s="71" t="str">
        <f t="shared" si="6"/>
        <v>11,582(29.1)</v>
      </c>
    </row>
    <row r="30" spans="2:9" ht="16.95" customHeight="1">
      <c r="D30" s="82">
        <v>2</v>
      </c>
      <c r="E30" s="71" t="str">
        <f t="shared" si="5"/>
        <v>4,734(18.1)</v>
      </c>
      <c r="F30" s="71" t="str">
        <f t="shared" si="6"/>
        <v>694(13.9)</v>
      </c>
      <c r="G30" s="71" t="str">
        <f t="shared" si="6"/>
        <v>1,302(15.1)</v>
      </c>
      <c r="H30" s="71" t="str">
        <f t="shared" si="6"/>
        <v>6,730(16.9)</v>
      </c>
    </row>
    <row r="31" spans="2:9" ht="16.95" customHeight="1">
      <c r="D31" s="82" t="s">
        <v>69</v>
      </c>
      <c r="E31" s="71" t="str">
        <f t="shared" si="5"/>
        <v>3,943(15.0)</v>
      </c>
      <c r="F31" s="71" t="str">
        <f t="shared" si="6"/>
        <v>646(12.9)</v>
      </c>
      <c r="G31" s="71" t="str">
        <f t="shared" si="6"/>
        <v>1,004(11.6)</v>
      </c>
      <c r="H31" s="71" t="str">
        <f t="shared" si="6"/>
        <v>5,593(14.0)</v>
      </c>
    </row>
    <row r="32" spans="2:9" ht="16.95" customHeight="1">
      <c r="C32" s="17" t="s">
        <v>70</v>
      </c>
      <c r="D32" s="82" t="s">
        <v>71</v>
      </c>
      <c r="E32" s="71" t="str">
        <f t="shared" si="5"/>
        <v>1,076(4.1)</v>
      </c>
      <c r="F32" s="71" t="str">
        <f t="shared" si="6"/>
        <v>208(4.2)</v>
      </c>
      <c r="G32" s="71" t="str">
        <f t="shared" si="6"/>
        <v>249(2.9)</v>
      </c>
      <c r="H32" s="71" t="str">
        <f t="shared" si="6"/>
        <v>1,533(3.8)</v>
      </c>
    </row>
    <row r="33" spans="2:40" ht="16.95" customHeight="1">
      <c r="B33" s="85"/>
      <c r="C33" s="86"/>
      <c r="D33" s="87" t="s">
        <v>72</v>
      </c>
      <c r="E33" s="77" t="str">
        <f t="shared" si="5"/>
        <v>25,143(95.9)</v>
      </c>
      <c r="F33" s="77" t="str">
        <f t="shared" si="6"/>
        <v>4,783(95.8)</v>
      </c>
      <c r="G33" s="77" t="str">
        <f t="shared" si="6"/>
        <v>8,400(97.1)</v>
      </c>
      <c r="H33" s="77" t="str">
        <f t="shared" si="6"/>
        <v>38,326(96.2)</v>
      </c>
    </row>
    <row r="34" spans="2:40" ht="16.95" customHeight="1">
      <c r="B34" s="546" t="s">
        <v>73</v>
      </c>
      <c r="C34" s="547"/>
      <c r="D34" s="82"/>
      <c r="E34" s="71"/>
      <c r="F34" s="71"/>
      <c r="G34" s="71"/>
      <c r="H34" s="71"/>
    </row>
    <row r="35" spans="2:40" ht="16.95" hidden="1" customHeight="1">
      <c r="B35" s="91"/>
      <c r="C35" s="92"/>
      <c r="D35" s="91"/>
      <c r="E35" s="71" t="str">
        <f t="shared" ref="E35:H35" si="7">CONCATENATE(TEXT(E88,"#,000"), "(", TEXT(M88,"#.0"), ")")</f>
        <v>2,919(11.1)</v>
      </c>
      <c r="F35" s="71" t="str">
        <f t="shared" si="7"/>
        <v>780(15.6)</v>
      </c>
      <c r="G35" s="71" t="str">
        <f t="shared" si="7"/>
        <v>1,076(12.4)</v>
      </c>
      <c r="H35" s="71" t="str">
        <f t="shared" si="7"/>
        <v>4,775(12.0)</v>
      </c>
    </row>
    <row r="36" spans="2:40" ht="16.95" customHeight="1">
      <c r="B36" s="260"/>
      <c r="C36" s="113" t="s">
        <v>230</v>
      </c>
      <c r="D36" s="82" t="s">
        <v>23</v>
      </c>
      <c r="E36" s="71" t="str">
        <f>CONCATENATE(TEXT(E88,"#,000"), "(", TEXT(M88,"#.0"), ")")</f>
        <v>2,919(11.1)</v>
      </c>
      <c r="F36" s="71" t="str">
        <f t="shared" ref="F36:H47" si="8">CONCATENATE(TEXT(F88,"#,000"), "(", TEXT(N88,"#.0"), ")")</f>
        <v>780(15.6)</v>
      </c>
      <c r="G36" s="71" t="str">
        <f t="shared" si="8"/>
        <v>1,076(12.4)</v>
      </c>
      <c r="H36" s="71" t="str">
        <f t="shared" si="8"/>
        <v>4,775(12.0)</v>
      </c>
      <c r="J36" s="17">
        <v>4775</v>
      </c>
      <c r="K36" s="171">
        <f>J36/J48</f>
        <v>0.11979728543114479</v>
      </c>
      <c r="N36" s="17">
        <v>2919</v>
      </c>
      <c r="O36" s="17">
        <v>780</v>
      </c>
      <c r="P36" s="17">
        <v>1076</v>
      </c>
    </row>
    <row r="37" spans="2:40" ht="16.95" customHeight="1">
      <c r="B37" s="260"/>
      <c r="C37" s="64"/>
      <c r="D37" s="82" t="s">
        <v>27</v>
      </c>
      <c r="E37" s="71" t="str">
        <f t="shared" ref="E37:E47" si="9">CONCATENATE(TEXT(E89,"#,000"), "(", TEXT(M89,"#.0"), ")")</f>
        <v>13,025(49.7)</v>
      </c>
      <c r="F37" s="71" t="str">
        <f t="shared" si="8"/>
        <v>2,697(54.0)</v>
      </c>
      <c r="G37" s="71" t="str">
        <f t="shared" si="8"/>
        <v>4,019(46.5)</v>
      </c>
      <c r="H37" s="71" t="str">
        <f t="shared" si="8"/>
        <v>19,741(49.5)</v>
      </c>
      <c r="J37" s="17">
        <v>19741</v>
      </c>
      <c r="K37" s="171">
        <f>J37/J48</f>
        <v>0.49527082967460295</v>
      </c>
      <c r="N37" s="17">
        <v>13035</v>
      </c>
      <c r="O37" s="17">
        <v>2697</v>
      </c>
      <c r="P37" s="17">
        <v>4019</v>
      </c>
    </row>
    <row r="38" spans="2:40" ht="16.95" customHeight="1">
      <c r="B38" s="260"/>
      <c r="C38" s="64"/>
      <c r="D38" s="82" t="s">
        <v>10</v>
      </c>
      <c r="E38" s="71" t="str">
        <f t="shared" si="9"/>
        <v>10,275(39.2)</v>
      </c>
      <c r="F38" s="71" t="str">
        <f t="shared" si="8"/>
        <v>1,514(30.3)</v>
      </c>
      <c r="G38" s="71" t="str">
        <f t="shared" si="8"/>
        <v>3,554(41.1)</v>
      </c>
      <c r="H38" s="71" t="str">
        <f t="shared" si="8"/>
        <v>15,343(38.5)</v>
      </c>
      <c r="J38" s="17">
        <v>15343</v>
      </c>
      <c r="K38" s="171">
        <f>J38/J48</f>
        <v>0.38493188489425223</v>
      </c>
      <c r="L38" s="17">
        <f>J37+J38</f>
        <v>35084</v>
      </c>
      <c r="M38" s="173">
        <f>K37+K38</f>
        <v>0.88020271456885513</v>
      </c>
      <c r="N38" s="17">
        <v>10275</v>
      </c>
      <c r="O38" s="17">
        <v>1514</v>
      </c>
      <c r="P38" s="17">
        <v>3554</v>
      </c>
      <c r="AG38" s="72"/>
      <c r="AH38" s="78"/>
      <c r="AI38" s="72"/>
      <c r="AJ38" s="78"/>
      <c r="AK38" s="72"/>
      <c r="AL38" s="78"/>
      <c r="AM38" s="72"/>
      <c r="AN38" s="117"/>
    </row>
    <row r="39" spans="2:40" ht="16.95" customHeight="1">
      <c r="B39" s="260"/>
      <c r="C39" s="17" t="s">
        <v>26</v>
      </c>
      <c r="D39" s="70" t="s">
        <v>23</v>
      </c>
      <c r="E39" s="71" t="str">
        <f t="shared" si="9"/>
        <v>6,968(26.6)</v>
      </c>
      <c r="F39" s="71" t="str">
        <f t="shared" si="8"/>
        <v>1,683(33.7)</v>
      </c>
      <c r="G39" s="71" t="str">
        <f t="shared" si="8"/>
        <v>2,731(31.6)</v>
      </c>
      <c r="H39" s="71" t="str">
        <f t="shared" si="8"/>
        <v>11,382(28.6)</v>
      </c>
      <c r="K39" s="171"/>
      <c r="M39" s="173"/>
      <c r="AG39" s="72"/>
      <c r="AH39" s="78"/>
      <c r="AI39" s="72"/>
      <c r="AJ39" s="78"/>
      <c r="AK39" s="72"/>
      <c r="AL39" s="78"/>
      <c r="AM39" s="72"/>
      <c r="AN39" s="117"/>
    </row>
    <row r="40" spans="2:40" ht="16.95" customHeight="1">
      <c r="B40" s="260"/>
      <c r="D40" s="70" t="s">
        <v>27</v>
      </c>
      <c r="E40" s="71" t="str">
        <f t="shared" si="9"/>
        <v>15,282(58.3)</v>
      </c>
      <c r="F40" s="71" t="str">
        <f t="shared" si="8"/>
        <v>2,794(56.0)</v>
      </c>
      <c r="G40" s="71" t="str">
        <f t="shared" si="8"/>
        <v>4,993(57.7)</v>
      </c>
      <c r="H40" s="71" t="str">
        <f t="shared" si="8"/>
        <v>23,069(57.9)</v>
      </c>
      <c r="K40" s="171"/>
      <c r="M40" s="173"/>
      <c r="AG40" s="72"/>
      <c r="AH40" s="78"/>
      <c r="AI40" s="72"/>
      <c r="AJ40" s="78"/>
      <c r="AK40" s="72"/>
      <c r="AL40" s="78"/>
      <c r="AM40" s="72"/>
      <c r="AN40" s="117"/>
    </row>
    <row r="41" spans="2:40" ht="16.95" customHeight="1">
      <c r="B41" s="260"/>
      <c r="D41" s="70" t="s">
        <v>10</v>
      </c>
      <c r="E41" s="71" t="str">
        <f t="shared" si="9"/>
        <v>3,969(15.1)</v>
      </c>
      <c r="F41" s="71" t="str">
        <f t="shared" si="8"/>
        <v>514(10.3)</v>
      </c>
      <c r="G41" s="71" t="str">
        <f t="shared" si="8"/>
        <v>925(10.7)</v>
      </c>
      <c r="H41" s="71" t="str">
        <f t="shared" si="8"/>
        <v>5,408(13.6)</v>
      </c>
      <c r="K41" s="171"/>
      <c r="M41" s="173"/>
      <c r="AG41" s="72"/>
      <c r="AH41" s="78"/>
      <c r="AI41" s="72"/>
      <c r="AJ41" s="78"/>
      <c r="AK41" s="72"/>
      <c r="AL41" s="78"/>
      <c r="AM41" s="72"/>
      <c r="AN41" s="117"/>
    </row>
    <row r="42" spans="2:40" ht="16.95" customHeight="1">
      <c r="B42" s="260"/>
      <c r="C42" s="17" t="s">
        <v>229</v>
      </c>
      <c r="D42" s="82" t="s">
        <v>23</v>
      </c>
      <c r="E42" s="71" t="str">
        <f t="shared" si="9"/>
        <v>19,170(73.1)</v>
      </c>
      <c r="F42" s="71" t="str">
        <f t="shared" si="8"/>
        <v>3,526(70.6)</v>
      </c>
      <c r="G42" s="71" t="str">
        <f t="shared" si="8"/>
        <v>5,561(64.3)</v>
      </c>
      <c r="H42" s="71" t="str">
        <f t="shared" si="8"/>
        <v>28,257(70.9)</v>
      </c>
      <c r="K42" s="171"/>
      <c r="M42" s="173"/>
      <c r="AG42" s="72"/>
      <c r="AH42" s="78"/>
      <c r="AI42" s="72"/>
      <c r="AJ42" s="78"/>
      <c r="AK42" s="72"/>
      <c r="AL42" s="78"/>
      <c r="AM42" s="72"/>
      <c r="AN42" s="117"/>
    </row>
    <row r="43" spans="2:40" ht="16.95" customHeight="1">
      <c r="B43" s="260"/>
      <c r="D43" s="82" t="s">
        <v>27</v>
      </c>
      <c r="E43" s="71" t="str">
        <f t="shared" si="9"/>
        <v>2,627(10.0)</v>
      </c>
      <c r="F43" s="71" t="str">
        <f t="shared" si="8"/>
        <v>782(15.7)</v>
      </c>
      <c r="G43" s="71" t="str">
        <f t="shared" si="8"/>
        <v>893(10.3)</v>
      </c>
      <c r="H43" s="71" t="str">
        <f t="shared" si="8"/>
        <v>4,302(10.8)</v>
      </c>
      <c r="K43" s="171"/>
      <c r="M43" s="173"/>
      <c r="AG43" s="72"/>
      <c r="AH43" s="78"/>
      <c r="AI43" s="72"/>
      <c r="AJ43" s="78"/>
      <c r="AK43" s="72"/>
      <c r="AL43" s="78"/>
      <c r="AM43" s="72"/>
      <c r="AN43" s="117"/>
    </row>
    <row r="44" spans="2:40" ht="16.95" customHeight="1">
      <c r="B44" s="260"/>
      <c r="D44" s="82" t="s">
        <v>10</v>
      </c>
      <c r="E44" s="71" t="str">
        <f t="shared" si="9"/>
        <v>4,422(16.9)</v>
      </c>
      <c r="F44" s="71" t="str">
        <f t="shared" si="8"/>
        <v>683(13.7)</v>
      </c>
      <c r="G44" s="71" t="str">
        <f t="shared" si="8"/>
        <v>2,195(25.4)</v>
      </c>
      <c r="H44" s="71" t="str">
        <f t="shared" si="8"/>
        <v>7,300(18.3)</v>
      </c>
      <c r="K44" s="171"/>
      <c r="M44" s="173"/>
      <c r="AG44" s="72"/>
      <c r="AH44" s="78"/>
      <c r="AI44" s="72"/>
      <c r="AJ44" s="78"/>
      <c r="AK44" s="72"/>
      <c r="AL44" s="78"/>
      <c r="AM44" s="72"/>
      <c r="AN44" s="117"/>
    </row>
    <row r="45" spans="2:40" ht="16.95" customHeight="1">
      <c r="B45" s="260"/>
      <c r="C45" s="17" t="s">
        <v>231</v>
      </c>
      <c r="D45" s="82" t="s">
        <v>23</v>
      </c>
      <c r="E45" s="71" t="str">
        <f t="shared" si="9"/>
        <v>8,346(31.8)</v>
      </c>
      <c r="F45" s="71" t="str">
        <f t="shared" si="8"/>
        <v>2,020(40.5)</v>
      </c>
      <c r="G45" s="71" t="str">
        <f t="shared" si="8"/>
        <v>3,480(40.2)</v>
      </c>
      <c r="H45" s="71" t="str">
        <f t="shared" si="8"/>
        <v>13,846(34.7)</v>
      </c>
      <c r="K45" s="171"/>
      <c r="M45" s="173"/>
      <c r="AG45" s="72"/>
      <c r="AH45" s="78"/>
      <c r="AI45" s="72"/>
      <c r="AJ45" s="78"/>
      <c r="AK45" s="72"/>
      <c r="AL45" s="78"/>
      <c r="AM45" s="72"/>
      <c r="AN45" s="117"/>
    </row>
    <row r="46" spans="2:40" ht="16.95" customHeight="1">
      <c r="B46" s="260"/>
      <c r="D46" s="82" t="s">
        <v>27</v>
      </c>
      <c r="E46" s="71" t="str">
        <f t="shared" si="9"/>
        <v>15,720(60.0)</v>
      </c>
      <c r="F46" s="71" t="str">
        <f t="shared" si="8"/>
        <v>2,683(53.8)</v>
      </c>
      <c r="G46" s="71" t="str">
        <f t="shared" si="8"/>
        <v>4,658(53.9)</v>
      </c>
      <c r="H46" s="71" t="str">
        <f t="shared" si="8"/>
        <v>23,061(57.9)</v>
      </c>
      <c r="K46" s="171"/>
      <c r="M46" s="173"/>
      <c r="AG46" s="72"/>
      <c r="AH46" s="78"/>
      <c r="AI46" s="72"/>
      <c r="AJ46" s="78"/>
      <c r="AK46" s="72"/>
      <c r="AL46" s="78"/>
      <c r="AM46" s="72"/>
      <c r="AN46" s="117"/>
    </row>
    <row r="47" spans="2:40" ht="16.95" customHeight="1">
      <c r="B47" s="91"/>
      <c r="C47" s="42"/>
      <c r="D47" s="89" t="s">
        <v>10</v>
      </c>
      <c r="E47" s="90" t="str">
        <f t="shared" si="9"/>
        <v>2,153(8.2)</v>
      </c>
      <c r="F47" s="90" t="str">
        <f t="shared" si="8"/>
        <v>288(5.8)</v>
      </c>
      <c r="G47" s="90" t="str">
        <f t="shared" si="8"/>
        <v>511(5.9)</v>
      </c>
      <c r="H47" s="90" t="str">
        <f t="shared" si="8"/>
        <v>2,952(7.4)</v>
      </c>
      <c r="K47" s="171"/>
      <c r="M47" s="173"/>
      <c r="AG47" s="72"/>
      <c r="AH47" s="78"/>
      <c r="AI47" s="72"/>
      <c r="AJ47" s="78"/>
      <c r="AK47" s="72"/>
      <c r="AL47" s="78"/>
      <c r="AM47" s="72"/>
      <c r="AN47" s="117"/>
    </row>
    <row r="48" spans="2:40" s="34" customFormat="1" ht="16.95" customHeight="1">
      <c r="B48" s="261" t="s">
        <v>74</v>
      </c>
      <c r="C48" s="95"/>
      <c r="D48" s="95"/>
      <c r="E48" s="95"/>
      <c r="F48" s="95"/>
      <c r="G48" s="95"/>
      <c r="H48" s="95"/>
      <c r="I48" s="96"/>
      <c r="J48" s="63">
        <f>SUM(J36:J38)</f>
        <v>39859</v>
      </c>
      <c r="K48" s="172">
        <f>SUM(K36:K38)</f>
        <v>1</v>
      </c>
      <c r="N48" s="63">
        <f>SUM(N36:N38)</f>
        <v>26229</v>
      </c>
      <c r="O48" s="63">
        <f>SUM(O36:O38)</f>
        <v>4991</v>
      </c>
      <c r="P48" s="63">
        <f>SUM(P36:P38)</f>
        <v>8649</v>
      </c>
      <c r="Q48" s="34">
        <f>SUM(N48:P48)</f>
        <v>39869</v>
      </c>
    </row>
    <row r="49" spans="1:16" s="63" customFormat="1" ht="16.95" customHeight="1">
      <c r="B49" s="97"/>
      <c r="C49" s="83"/>
      <c r="D49" s="83"/>
      <c r="E49" s="83"/>
      <c r="F49" s="83"/>
      <c r="G49" s="83"/>
      <c r="H49" s="83"/>
      <c r="I49" s="98"/>
      <c r="N49" s="174">
        <f>N48/Q48</f>
        <v>0.65787955554440791</v>
      </c>
      <c r="O49" s="174">
        <f>O48/Q48</f>
        <v>0.12518498081215981</v>
      </c>
      <c r="P49" s="174">
        <f>P48/Q48</f>
        <v>0.21693546364343225</v>
      </c>
    </row>
    <row r="50" spans="1:16" ht="16.95" customHeight="1">
      <c r="E50" s="78"/>
    </row>
    <row r="51" spans="1:16" ht="16.95" customHeight="1">
      <c r="E51" s="78"/>
    </row>
    <row r="52" spans="1:16" ht="16.95" customHeight="1"/>
    <row r="53" spans="1:16" s="198" customFormat="1">
      <c r="A53" s="17"/>
      <c r="B53" s="63"/>
      <c r="C53" s="17"/>
      <c r="D53" s="63"/>
      <c r="E53" s="72"/>
      <c r="F53" s="17"/>
      <c r="G53" s="17"/>
      <c r="H53" s="17"/>
      <c r="I53" s="62"/>
      <c r="J53" s="17"/>
      <c r="K53" s="17"/>
      <c r="L53" s="17"/>
      <c r="M53" s="17"/>
      <c r="N53" s="17"/>
      <c r="O53" s="17"/>
      <c r="P53" s="17"/>
    </row>
    <row r="54" spans="1:16">
      <c r="D54" s="17"/>
      <c r="E54" s="17"/>
      <c r="F54" s="62"/>
      <c r="I54" s="17"/>
    </row>
    <row r="55" spans="1:16">
      <c r="B55" s="60"/>
      <c r="C55" s="61"/>
      <c r="D55" s="60"/>
      <c r="E55" s="548" t="s">
        <v>46</v>
      </c>
      <c r="F55" s="548"/>
      <c r="G55" s="548"/>
      <c r="H55" s="548"/>
      <c r="I55" s="17"/>
      <c r="J55" s="60"/>
      <c r="K55" s="61"/>
      <c r="L55" s="60"/>
      <c r="M55" s="548" t="s">
        <v>46</v>
      </c>
      <c r="N55" s="548"/>
      <c r="O55" s="548"/>
      <c r="P55" s="548"/>
    </row>
    <row r="56" spans="1:16" ht="13.8">
      <c r="E56" s="64" t="s">
        <v>23</v>
      </c>
      <c r="F56" s="64" t="s">
        <v>6</v>
      </c>
      <c r="G56" s="64" t="s">
        <v>7</v>
      </c>
      <c r="H56" s="64" t="s">
        <v>47</v>
      </c>
      <c r="I56" s="17"/>
      <c r="J56" s="63"/>
      <c r="L56" s="63"/>
      <c r="M56" s="64" t="s">
        <v>23</v>
      </c>
      <c r="N56" s="64" t="s">
        <v>6</v>
      </c>
      <c r="O56" s="64" t="s">
        <v>7</v>
      </c>
      <c r="P56" s="64" t="s">
        <v>47</v>
      </c>
    </row>
    <row r="57" spans="1:16" ht="15" thickBot="1">
      <c r="B57" s="65"/>
      <c r="C57" s="66"/>
      <c r="D57" s="66"/>
      <c r="E57" s="67" t="s">
        <v>48</v>
      </c>
      <c r="F57" s="66" t="s">
        <v>48</v>
      </c>
      <c r="G57" s="66" t="s">
        <v>48</v>
      </c>
      <c r="H57" s="66" t="s">
        <v>48</v>
      </c>
      <c r="J57" s="65"/>
      <c r="K57" s="66"/>
      <c r="L57" s="66"/>
      <c r="M57" s="67" t="s">
        <v>48</v>
      </c>
      <c r="N57" s="66" t="s">
        <v>48</v>
      </c>
      <c r="O57" s="66" t="s">
        <v>48</v>
      </c>
      <c r="P57" s="66" t="s">
        <v>48</v>
      </c>
    </row>
    <row r="58" spans="1:16" ht="15" thickTop="1">
      <c r="B58" s="549" t="s">
        <v>49</v>
      </c>
      <c r="C58" s="550"/>
      <c r="D58" s="68"/>
      <c r="E58" s="69"/>
      <c r="F58" s="64"/>
      <c r="G58" s="64"/>
      <c r="H58" s="64"/>
      <c r="J58" s="549" t="s">
        <v>49</v>
      </c>
      <c r="K58" s="550"/>
      <c r="L58" s="68"/>
      <c r="M58" s="69"/>
      <c r="N58" s="64"/>
      <c r="O58" s="64"/>
      <c r="P58" s="64"/>
    </row>
    <row r="59" spans="1:16">
      <c r="C59" s="17" t="s">
        <v>50</v>
      </c>
      <c r="D59" s="70" t="s">
        <v>51</v>
      </c>
      <c r="E59" s="71">
        <v>12633</v>
      </c>
      <c r="F59" s="71">
        <v>2946</v>
      </c>
      <c r="G59" s="71">
        <v>4930</v>
      </c>
      <c r="H59" s="71">
        <f>SUM($E59:$G59)</f>
        <v>20509</v>
      </c>
      <c r="J59" s="63"/>
      <c r="K59" s="17" t="s">
        <v>50</v>
      </c>
      <c r="L59" s="70" t="s">
        <v>51</v>
      </c>
      <c r="M59" s="262">
        <f t="shared" ref="M59:O60" si="10">ROUND(E59/SUM(E$59:E$60) *100, 1)</f>
        <v>48.2</v>
      </c>
      <c r="N59" s="262">
        <f t="shared" si="10"/>
        <v>59</v>
      </c>
      <c r="O59" s="262">
        <f t="shared" si="10"/>
        <v>57</v>
      </c>
      <c r="P59" s="262">
        <f>ROUND(H59/SUM($E$59:$G$60) * 100,1)</f>
        <v>51.5</v>
      </c>
    </row>
    <row r="60" spans="1:16">
      <c r="D60" s="70" t="s">
        <v>52</v>
      </c>
      <c r="E60" s="71">
        <v>13586</v>
      </c>
      <c r="F60" s="71">
        <v>2045</v>
      </c>
      <c r="G60" s="71">
        <v>3719</v>
      </c>
      <c r="H60" s="71">
        <f t="shared" ref="H60:H99" si="11">SUM($E60:$G60)</f>
        <v>19350</v>
      </c>
      <c r="J60" s="63"/>
      <c r="L60" s="70" t="s">
        <v>52</v>
      </c>
      <c r="M60" s="262">
        <f t="shared" si="10"/>
        <v>51.8</v>
      </c>
      <c r="N60" s="262">
        <f t="shared" si="10"/>
        <v>41</v>
      </c>
      <c r="O60" s="262">
        <f t="shared" si="10"/>
        <v>43</v>
      </c>
      <c r="P60" s="262">
        <f t="shared" ref="P60:P99" si="12">ROUND(H60/SUM($E$59:$G$60) * 100,1)</f>
        <v>48.5</v>
      </c>
    </row>
    <row r="61" spans="1:16">
      <c r="B61" s="73"/>
      <c r="C61" s="74" t="s">
        <v>53</v>
      </c>
      <c r="D61" s="29" t="s">
        <v>54</v>
      </c>
      <c r="E61" s="100">
        <v>18950</v>
      </c>
      <c r="F61" s="100">
        <v>3898</v>
      </c>
      <c r="G61" s="100">
        <v>6983</v>
      </c>
      <c r="H61" s="71">
        <f t="shared" si="11"/>
        <v>29831</v>
      </c>
      <c r="J61" s="73"/>
      <c r="K61" s="74" t="s">
        <v>53</v>
      </c>
      <c r="L61" s="29" t="s">
        <v>54</v>
      </c>
      <c r="M61" s="263">
        <f t="shared" ref="M61:O62" si="13">ROUND(E61/SUM(E$61:E$62) * 100, 1)</f>
        <v>72.3</v>
      </c>
      <c r="N61" s="263">
        <f t="shared" si="13"/>
        <v>78.099999999999994</v>
      </c>
      <c r="O61" s="263">
        <f t="shared" si="13"/>
        <v>80.7</v>
      </c>
      <c r="P61" s="262">
        <f t="shared" si="12"/>
        <v>74.8</v>
      </c>
    </row>
    <row r="62" spans="1:16">
      <c r="B62" s="73"/>
      <c r="C62" s="74"/>
      <c r="D62" s="29" t="s">
        <v>55</v>
      </c>
      <c r="E62" s="100">
        <v>7269</v>
      </c>
      <c r="F62" s="100">
        <v>1093</v>
      </c>
      <c r="G62" s="100">
        <v>1666</v>
      </c>
      <c r="H62" s="71">
        <f t="shared" si="11"/>
        <v>10028</v>
      </c>
      <c r="J62" s="73"/>
      <c r="K62" s="74"/>
      <c r="L62" s="29" t="s">
        <v>55</v>
      </c>
      <c r="M62" s="263">
        <f t="shared" si="13"/>
        <v>27.7</v>
      </c>
      <c r="N62" s="263">
        <f t="shared" si="13"/>
        <v>21.9</v>
      </c>
      <c r="O62" s="263">
        <f t="shared" si="13"/>
        <v>19.3</v>
      </c>
      <c r="P62" s="262">
        <f t="shared" si="12"/>
        <v>25.2</v>
      </c>
    </row>
    <row r="63" spans="1:16">
      <c r="B63" s="551" t="s">
        <v>56</v>
      </c>
      <c r="C63" s="552"/>
      <c r="D63" s="102"/>
      <c r="E63" s="103"/>
      <c r="F63" s="103"/>
      <c r="G63" s="103"/>
      <c r="H63" s="71"/>
      <c r="J63" s="551" t="s">
        <v>56</v>
      </c>
      <c r="K63" s="552"/>
      <c r="L63" s="102"/>
      <c r="M63" s="264"/>
      <c r="N63" s="264"/>
      <c r="O63" s="264"/>
      <c r="P63" s="262"/>
    </row>
    <row r="64" spans="1:16">
      <c r="C64" s="17" t="s">
        <v>57</v>
      </c>
      <c r="D64" s="70" t="s">
        <v>58</v>
      </c>
      <c r="E64" s="71">
        <v>14724</v>
      </c>
      <c r="F64" s="71">
        <v>2527</v>
      </c>
      <c r="G64" s="71">
        <v>4112</v>
      </c>
      <c r="H64" s="71">
        <f t="shared" si="11"/>
        <v>21363</v>
      </c>
      <c r="J64" s="63"/>
      <c r="K64" s="17" t="s">
        <v>57</v>
      </c>
      <c r="L64" s="70" t="s">
        <v>58</v>
      </c>
      <c r="M64" s="263">
        <f t="shared" ref="M64:O65" si="14">ROUND(E64/SUM(E$64:E$65) * 100, 1)</f>
        <v>56.2</v>
      </c>
      <c r="N64" s="263">
        <f t="shared" si="14"/>
        <v>50.6</v>
      </c>
      <c r="O64" s="263">
        <f t="shared" si="14"/>
        <v>47.5</v>
      </c>
      <c r="P64" s="262">
        <f t="shared" si="12"/>
        <v>53.6</v>
      </c>
    </row>
    <row r="65" spans="2:16">
      <c r="C65" s="59"/>
      <c r="D65" s="70" t="s">
        <v>59</v>
      </c>
      <c r="E65" s="71">
        <v>11495</v>
      </c>
      <c r="F65" s="71">
        <v>2464</v>
      </c>
      <c r="G65" s="71">
        <v>4537</v>
      </c>
      <c r="H65" s="71">
        <f t="shared" si="11"/>
        <v>18496</v>
      </c>
      <c r="J65" s="63"/>
      <c r="K65" s="59"/>
      <c r="L65" s="70" t="s">
        <v>59</v>
      </c>
      <c r="M65" s="263">
        <f t="shared" si="14"/>
        <v>43.8</v>
      </c>
      <c r="N65" s="263">
        <f t="shared" si="14"/>
        <v>49.4</v>
      </c>
      <c r="O65" s="263">
        <f t="shared" si="14"/>
        <v>52.5</v>
      </c>
      <c r="P65" s="262">
        <f t="shared" si="12"/>
        <v>46.4</v>
      </c>
    </row>
    <row r="66" spans="2:16" ht="15.6">
      <c r="B66" s="73"/>
      <c r="C66" s="21" t="s">
        <v>60</v>
      </c>
      <c r="D66" s="29" t="s">
        <v>61</v>
      </c>
      <c r="E66" s="71">
        <v>22082</v>
      </c>
      <c r="F66" s="71">
        <v>4096</v>
      </c>
      <c r="G66" s="71">
        <v>7398</v>
      </c>
      <c r="H66" s="71">
        <f t="shared" si="11"/>
        <v>33576</v>
      </c>
      <c r="J66" s="73"/>
      <c r="K66" s="21" t="s">
        <v>60</v>
      </c>
      <c r="L66" s="29" t="s">
        <v>61</v>
      </c>
      <c r="M66" s="262">
        <f t="shared" ref="M66:O71" si="15">ROUND(E66/SUM(E$66:E$67) * 100, 1)</f>
        <v>84.2</v>
      </c>
      <c r="N66" s="262">
        <f t="shared" si="15"/>
        <v>82.1</v>
      </c>
      <c r="O66" s="262">
        <f t="shared" si="15"/>
        <v>85.5</v>
      </c>
      <c r="P66" s="262">
        <f t="shared" si="12"/>
        <v>84.2</v>
      </c>
    </row>
    <row r="67" spans="2:16">
      <c r="B67" s="73"/>
      <c r="C67" s="21"/>
      <c r="D67" s="29" t="s">
        <v>62</v>
      </c>
      <c r="E67" s="71">
        <v>4137</v>
      </c>
      <c r="F67" s="71">
        <v>895</v>
      </c>
      <c r="G67" s="71">
        <v>1251</v>
      </c>
      <c r="H67" s="71">
        <f t="shared" si="11"/>
        <v>6283</v>
      </c>
      <c r="J67" s="73"/>
      <c r="K67" s="21"/>
      <c r="L67" s="29" t="s">
        <v>62</v>
      </c>
      <c r="M67" s="262">
        <f t="shared" si="15"/>
        <v>15.8</v>
      </c>
      <c r="N67" s="262">
        <f t="shared" ref="N67:N71" si="16">ROUND(F67/SUM(F$66:F$67) * 100, 1)</f>
        <v>17.899999999999999</v>
      </c>
      <c r="O67" s="262">
        <f t="shared" ref="O67:O71" si="17">ROUND(G67/SUM(G$66:G$67) * 100, 1)</f>
        <v>14.5</v>
      </c>
      <c r="P67" s="262">
        <f t="shared" ref="P67:P71" si="18">ROUND(H67/SUM(H$66:H$67) * 100, 1)</f>
        <v>15.8</v>
      </c>
    </row>
    <row r="68" spans="2:16">
      <c r="B68" s="73"/>
      <c r="C68" s="27" t="s">
        <v>173</v>
      </c>
      <c r="D68" s="187" t="s">
        <v>23</v>
      </c>
      <c r="E68" s="71">
        <v>16997</v>
      </c>
      <c r="F68" s="71">
        <v>2943</v>
      </c>
      <c r="G68" s="71">
        <v>5231</v>
      </c>
      <c r="H68" s="71">
        <f t="shared" si="11"/>
        <v>25171</v>
      </c>
      <c r="J68" s="73"/>
      <c r="K68" s="27" t="s">
        <v>173</v>
      </c>
      <c r="L68" s="187" t="s">
        <v>23</v>
      </c>
      <c r="M68" s="262">
        <f t="shared" si="15"/>
        <v>64.8</v>
      </c>
      <c r="N68" s="262">
        <f t="shared" si="16"/>
        <v>59</v>
      </c>
      <c r="O68" s="262">
        <f t="shared" si="17"/>
        <v>60.5</v>
      </c>
      <c r="P68" s="262">
        <f t="shared" si="18"/>
        <v>63.2</v>
      </c>
    </row>
    <row r="69" spans="2:16">
      <c r="B69" s="73"/>
      <c r="C69" s="27"/>
      <c r="D69" s="187" t="s">
        <v>64</v>
      </c>
      <c r="E69" s="71">
        <v>9222</v>
      </c>
      <c r="F69" s="71">
        <v>2048</v>
      </c>
      <c r="G69" s="71">
        <v>3418</v>
      </c>
      <c r="H69" s="71">
        <f t="shared" si="11"/>
        <v>14688</v>
      </c>
      <c r="J69" s="73"/>
      <c r="K69" s="27"/>
      <c r="L69" s="187" t="s">
        <v>64</v>
      </c>
      <c r="M69" s="262">
        <f t="shared" si="15"/>
        <v>35.200000000000003</v>
      </c>
      <c r="N69" s="262">
        <f t="shared" si="16"/>
        <v>41</v>
      </c>
      <c r="O69" s="262">
        <f t="shared" si="17"/>
        <v>39.5</v>
      </c>
      <c r="P69" s="262">
        <f t="shared" si="18"/>
        <v>36.799999999999997</v>
      </c>
    </row>
    <row r="70" spans="2:16">
      <c r="B70" s="73"/>
      <c r="C70" s="27" t="s">
        <v>165</v>
      </c>
      <c r="D70" s="187" t="s">
        <v>23</v>
      </c>
      <c r="E70" s="71">
        <v>18421</v>
      </c>
      <c r="F70" s="71">
        <v>3006</v>
      </c>
      <c r="G70" s="71">
        <v>5128</v>
      </c>
      <c r="H70" s="71">
        <f t="shared" si="11"/>
        <v>26555</v>
      </c>
      <c r="J70" s="73"/>
      <c r="K70" s="27" t="s">
        <v>165</v>
      </c>
      <c r="L70" s="187" t="s">
        <v>23</v>
      </c>
      <c r="M70" s="262">
        <f t="shared" si="15"/>
        <v>70.3</v>
      </c>
      <c r="N70" s="262">
        <f t="shared" si="16"/>
        <v>60.2</v>
      </c>
      <c r="O70" s="262">
        <f t="shared" si="17"/>
        <v>59.3</v>
      </c>
      <c r="P70" s="262">
        <f t="shared" si="18"/>
        <v>66.599999999999994</v>
      </c>
    </row>
    <row r="71" spans="2:16">
      <c r="B71" s="73"/>
      <c r="C71" s="21"/>
      <c r="D71" s="29" t="s">
        <v>64</v>
      </c>
      <c r="E71" s="71">
        <v>7798</v>
      </c>
      <c r="F71" s="71">
        <v>1985</v>
      </c>
      <c r="G71" s="71">
        <v>3521</v>
      </c>
      <c r="H71" s="71">
        <f t="shared" si="11"/>
        <v>13304</v>
      </c>
      <c r="J71" s="73"/>
      <c r="K71" s="21"/>
      <c r="L71" s="29" t="s">
        <v>64</v>
      </c>
      <c r="M71" s="262">
        <f t="shared" si="15"/>
        <v>29.7</v>
      </c>
      <c r="N71" s="262">
        <f t="shared" si="16"/>
        <v>39.799999999999997</v>
      </c>
      <c r="O71" s="262">
        <f t="shared" si="17"/>
        <v>40.700000000000003</v>
      </c>
      <c r="P71" s="262">
        <f t="shared" si="18"/>
        <v>33.4</v>
      </c>
    </row>
    <row r="72" spans="2:16">
      <c r="C72" s="17" t="s">
        <v>63</v>
      </c>
      <c r="D72" s="70" t="s">
        <v>23</v>
      </c>
      <c r="E72" s="71">
        <v>10857</v>
      </c>
      <c r="F72" s="71">
        <v>1956</v>
      </c>
      <c r="G72" s="71">
        <v>3078</v>
      </c>
      <c r="H72" s="71">
        <f t="shared" si="11"/>
        <v>15891</v>
      </c>
      <c r="J72" s="63"/>
      <c r="K72" s="17" t="s">
        <v>63</v>
      </c>
      <c r="L72" s="70" t="s">
        <v>23</v>
      </c>
      <c r="M72" s="262">
        <f t="shared" ref="M72:O73" si="19">ROUND(E72/SUM(E$72:E$73)*100,1)</f>
        <v>41.4</v>
      </c>
      <c r="N72" s="262">
        <f t="shared" si="19"/>
        <v>39.200000000000003</v>
      </c>
      <c r="O72" s="262">
        <f t="shared" si="19"/>
        <v>35.6</v>
      </c>
      <c r="P72" s="262">
        <f t="shared" si="12"/>
        <v>39.9</v>
      </c>
    </row>
    <row r="73" spans="2:16">
      <c r="D73" s="70" t="s">
        <v>64</v>
      </c>
      <c r="E73" s="71">
        <v>15362</v>
      </c>
      <c r="F73" s="71">
        <v>3035</v>
      </c>
      <c r="G73" s="71">
        <v>5571</v>
      </c>
      <c r="H73" s="71">
        <f t="shared" si="11"/>
        <v>23968</v>
      </c>
      <c r="J73" s="63"/>
      <c r="L73" s="70" t="s">
        <v>64</v>
      </c>
      <c r="M73" s="262">
        <f t="shared" si="19"/>
        <v>58.6</v>
      </c>
      <c r="N73" s="262">
        <f t="shared" si="19"/>
        <v>60.8</v>
      </c>
      <c r="O73" s="262">
        <f t="shared" si="19"/>
        <v>64.400000000000006</v>
      </c>
      <c r="P73" s="262">
        <f t="shared" si="12"/>
        <v>60.1</v>
      </c>
    </row>
    <row r="74" spans="2:16">
      <c r="B74" s="551" t="s">
        <v>65</v>
      </c>
      <c r="C74" s="552"/>
      <c r="D74" s="102"/>
      <c r="E74" s="103"/>
      <c r="F74" s="103"/>
      <c r="G74" s="103"/>
      <c r="H74" s="71"/>
      <c r="J74" s="551" t="s">
        <v>65</v>
      </c>
      <c r="K74" s="552"/>
      <c r="L74" s="102"/>
      <c r="M74" s="264"/>
      <c r="N74" s="264"/>
      <c r="O74" s="264"/>
      <c r="P74" s="262"/>
    </row>
    <row r="75" spans="2:16">
      <c r="C75" s="80" t="s">
        <v>66</v>
      </c>
      <c r="D75" s="70" t="s">
        <v>23</v>
      </c>
      <c r="E75" s="71">
        <v>24871</v>
      </c>
      <c r="F75" s="71">
        <v>4781</v>
      </c>
      <c r="G75" s="71">
        <v>8383</v>
      </c>
      <c r="H75" s="71">
        <f t="shared" si="11"/>
        <v>38035</v>
      </c>
      <c r="J75" s="63"/>
      <c r="K75" s="80" t="s">
        <v>66</v>
      </c>
      <c r="L75" s="70" t="s">
        <v>23</v>
      </c>
      <c r="M75" s="262">
        <f t="shared" ref="M75:O76" si="20">ROUND(E75/SUM(E$75:E$76)*100,1)</f>
        <v>94.9</v>
      </c>
      <c r="N75" s="262">
        <f t="shared" si="20"/>
        <v>95.8</v>
      </c>
      <c r="O75" s="262">
        <f t="shared" si="20"/>
        <v>96.9</v>
      </c>
      <c r="P75" s="262">
        <f t="shared" si="12"/>
        <v>95.4</v>
      </c>
    </row>
    <row r="76" spans="2:16">
      <c r="D76" s="70" t="s">
        <v>64</v>
      </c>
      <c r="E76" s="71">
        <v>1348</v>
      </c>
      <c r="F76" s="71">
        <v>210</v>
      </c>
      <c r="G76" s="71">
        <v>266</v>
      </c>
      <c r="H76" s="71">
        <f t="shared" si="11"/>
        <v>1824</v>
      </c>
      <c r="J76" s="63"/>
      <c r="L76" s="70" t="s">
        <v>64</v>
      </c>
      <c r="M76" s="262">
        <f t="shared" si="20"/>
        <v>5.0999999999999996</v>
      </c>
      <c r="N76" s="262">
        <f t="shared" si="20"/>
        <v>4.2</v>
      </c>
      <c r="O76" s="262">
        <f t="shared" si="20"/>
        <v>3.1</v>
      </c>
      <c r="P76" s="262">
        <f t="shared" si="12"/>
        <v>4.5999999999999996</v>
      </c>
    </row>
    <row r="77" spans="2:16">
      <c r="C77" s="80" t="s">
        <v>67</v>
      </c>
      <c r="D77" s="187" t="s">
        <v>23</v>
      </c>
      <c r="E77" s="71">
        <v>9998</v>
      </c>
      <c r="F77" s="71">
        <v>1993</v>
      </c>
      <c r="G77" s="71">
        <v>3117</v>
      </c>
      <c r="H77" s="71">
        <f t="shared" si="11"/>
        <v>15108</v>
      </c>
      <c r="J77" s="63"/>
      <c r="K77" s="27" t="s">
        <v>76</v>
      </c>
      <c r="L77" s="187" t="s">
        <v>23</v>
      </c>
      <c r="M77" s="262">
        <f>ROUND(E77/SUM(E$77:E$78)*100,1)</f>
        <v>38.1</v>
      </c>
      <c r="N77" s="262">
        <f t="shared" ref="N77:P78" si="21">ROUND(F77/SUM(F$77:F$78)*100,1)</f>
        <v>39.9</v>
      </c>
      <c r="O77" s="262">
        <f t="shared" si="21"/>
        <v>36</v>
      </c>
      <c r="P77" s="262">
        <f t="shared" si="21"/>
        <v>37.9</v>
      </c>
    </row>
    <row r="78" spans="2:16">
      <c r="D78" s="187" t="s">
        <v>64</v>
      </c>
      <c r="E78" s="71">
        <v>16221</v>
      </c>
      <c r="F78" s="71">
        <v>2998</v>
      </c>
      <c r="G78" s="71">
        <v>5532</v>
      </c>
      <c r="H78" s="71">
        <f t="shared" si="11"/>
        <v>24751</v>
      </c>
      <c r="J78" s="63"/>
      <c r="K78" s="27"/>
      <c r="L78" s="187" t="s">
        <v>64</v>
      </c>
      <c r="M78" s="262">
        <f>ROUND(E78/SUM(E$77:E$78)*100,1)</f>
        <v>61.9</v>
      </c>
      <c r="N78" s="262">
        <f t="shared" si="21"/>
        <v>60.1</v>
      </c>
      <c r="O78" s="262">
        <f t="shared" si="21"/>
        <v>64</v>
      </c>
      <c r="P78" s="262">
        <f t="shared" si="21"/>
        <v>62.1</v>
      </c>
    </row>
    <row r="79" spans="2:16">
      <c r="C79" s="21" t="s">
        <v>76</v>
      </c>
      <c r="D79" s="70" t="s">
        <v>23</v>
      </c>
      <c r="E79" s="71">
        <v>11455</v>
      </c>
      <c r="F79" s="71">
        <v>2711</v>
      </c>
      <c r="G79" s="71">
        <v>4826</v>
      </c>
      <c r="H79" s="71">
        <f t="shared" si="11"/>
        <v>18992</v>
      </c>
      <c r="J79" s="63"/>
      <c r="K79" s="80" t="s">
        <v>67</v>
      </c>
      <c r="L79" s="70" t="s">
        <v>23</v>
      </c>
      <c r="M79" s="262">
        <f t="shared" ref="M79:O80" si="22">ROUND(E79/SUM(E$79:E$80)*100,1)</f>
        <v>43.7</v>
      </c>
      <c r="N79" s="262">
        <f t="shared" si="22"/>
        <v>54.3</v>
      </c>
      <c r="O79" s="262">
        <f t="shared" si="22"/>
        <v>55.8</v>
      </c>
      <c r="P79" s="262">
        <f t="shared" si="12"/>
        <v>47.6</v>
      </c>
    </row>
    <row r="80" spans="2:16">
      <c r="D80" s="70" t="s">
        <v>64</v>
      </c>
      <c r="E80" s="71">
        <v>14764</v>
      </c>
      <c r="F80" s="71">
        <v>2280</v>
      </c>
      <c r="G80" s="71">
        <v>3823</v>
      </c>
      <c r="H80" s="71">
        <f t="shared" si="11"/>
        <v>20867</v>
      </c>
      <c r="J80" s="63"/>
      <c r="L80" s="70" t="s">
        <v>64</v>
      </c>
      <c r="M80" s="262">
        <f t="shared" si="22"/>
        <v>56.3</v>
      </c>
      <c r="N80" s="262">
        <f t="shared" si="22"/>
        <v>45.7</v>
      </c>
      <c r="O80" s="262">
        <f t="shared" si="22"/>
        <v>44.2</v>
      </c>
      <c r="P80" s="262">
        <f t="shared" si="12"/>
        <v>52.4</v>
      </c>
    </row>
    <row r="81" spans="2:16" ht="15.6">
      <c r="C81" s="81" t="s">
        <v>68</v>
      </c>
      <c r="D81" s="82">
        <v>0</v>
      </c>
      <c r="E81" s="71">
        <v>9895</v>
      </c>
      <c r="F81" s="71">
        <v>2234</v>
      </c>
      <c r="G81" s="71">
        <v>3825</v>
      </c>
      <c r="H81" s="71">
        <f t="shared" si="11"/>
        <v>15954</v>
      </c>
      <c r="J81" s="63"/>
      <c r="K81" s="81" t="s">
        <v>68</v>
      </c>
      <c r="L81" s="82">
        <v>0</v>
      </c>
      <c r="M81" s="262">
        <f>ROUND(E81/SUM(E$81:E$84)*100,1)</f>
        <v>37.700000000000003</v>
      </c>
      <c r="N81" s="262">
        <f>ROUND(F81/SUM(F$81:F$84)*100,1)</f>
        <v>44.8</v>
      </c>
      <c r="O81" s="262">
        <f>ROUND(G81/SUM(G$81:G$84)*100,1)</f>
        <v>44.2</v>
      </c>
      <c r="P81" s="262">
        <f t="shared" si="12"/>
        <v>40</v>
      </c>
    </row>
    <row r="82" spans="2:16">
      <c r="C82" s="83"/>
      <c r="D82" s="82">
        <v>1</v>
      </c>
      <c r="E82" s="71">
        <v>7647</v>
      </c>
      <c r="F82" s="71">
        <v>1417</v>
      </c>
      <c r="G82" s="71">
        <v>2518</v>
      </c>
      <c r="H82" s="71">
        <f t="shared" si="11"/>
        <v>11582</v>
      </c>
      <c r="J82" s="63"/>
      <c r="K82" s="83"/>
      <c r="L82" s="82">
        <v>1</v>
      </c>
      <c r="M82" s="262">
        <f t="shared" ref="M82:O84" si="23">ROUND(E82/SUM(E$81:E$84)*100,1)</f>
        <v>29.2</v>
      </c>
      <c r="N82" s="262">
        <f t="shared" si="23"/>
        <v>28.4</v>
      </c>
      <c r="O82" s="262">
        <f t="shared" si="23"/>
        <v>29.1</v>
      </c>
      <c r="P82" s="262">
        <f t="shared" si="12"/>
        <v>29.1</v>
      </c>
    </row>
    <row r="83" spans="2:16">
      <c r="D83" s="82">
        <v>2</v>
      </c>
      <c r="E83" s="71">
        <v>4734</v>
      </c>
      <c r="F83" s="71">
        <v>694</v>
      </c>
      <c r="G83" s="71">
        <v>1302</v>
      </c>
      <c r="H83" s="71">
        <f t="shared" si="11"/>
        <v>6730</v>
      </c>
      <c r="J83" s="63"/>
      <c r="L83" s="82">
        <v>2</v>
      </c>
      <c r="M83" s="262">
        <f t="shared" si="23"/>
        <v>18.100000000000001</v>
      </c>
      <c r="N83" s="262">
        <f t="shared" si="23"/>
        <v>13.9</v>
      </c>
      <c r="O83" s="262">
        <f t="shared" si="23"/>
        <v>15.1</v>
      </c>
      <c r="P83" s="262">
        <f t="shared" si="12"/>
        <v>16.899999999999999</v>
      </c>
    </row>
    <row r="84" spans="2:16">
      <c r="D84" s="82" t="s">
        <v>69</v>
      </c>
      <c r="E84" s="71">
        <v>3943</v>
      </c>
      <c r="F84" s="71">
        <v>646</v>
      </c>
      <c r="G84" s="71">
        <v>1004</v>
      </c>
      <c r="H84" s="71">
        <f t="shared" si="11"/>
        <v>5593</v>
      </c>
      <c r="J84" s="63"/>
      <c r="L84" s="82" t="s">
        <v>69</v>
      </c>
      <c r="M84" s="262">
        <f t="shared" si="23"/>
        <v>15</v>
      </c>
      <c r="N84" s="262">
        <f t="shared" si="23"/>
        <v>12.9</v>
      </c>
      <c r="O84" s="262">
        <f t="shared" si="23"/>
        <v>11.6</v>
      </c>
      <c r="P84" s="262">
        <f t="shared" si="12"/>
        <v>14</v>
      </c>
    </row>
    <row r="85" spans="2:16">
      <c r="C85" s="17" t="s">
        <v>70</v>
      </c>
      <c r="D85" s="82" t="s">
        <v>71</v>
      </c>
      <c r="E85" s="71">
        <v>1076</v>
      </c>
      <c r="F85" s="71">
        <v>208</v>
      </c>
      <c r="G85" s="71">
        <v>249</v>
      </c>
      <c r="H85" s="71">
        <f t="shared" si="11"/>
        <v>1533</v>
      </c>
      <c r="J85" s="63"/>
      <c r="K85" s="17" t="s">
        <v>70</v>
      </c>
      <c r="L85" s="82" t="s">
        <v>71</v>
      </c>
      <c r="M85" s="262">
        <f t="shared" ref="M85:O86" si="24">ROUND(E85/SUM(E$85:E$86) * 100, 1)</f>
        <v>4.0999999999999996</v>
      </c>
      <c r="N85" s="262">
        <f t="shared" si="24"/>
        <v>4.2</v>
      </c>
      <c r="O85" s="262">
        <f t="shared" si="24"/>
        <v>2.9</v>
      </c>
      <c r="P85" s="262">
        <f t="shared" si="12"/>
        <v>3.8</v>
      </c>
    </row>
    <row r="86" spans="2:16">
      <c r="B86" s="85"/>
      <c r="C86" s="86"/>
      <c r="D86" s="87" t="s">
        <v>72</v>
      </c>
      <c r="E86" s="77">
        <v>25143</v>
      </c>
      <c r="F86" s="77">
        <v>4783</v>
      </c>
      <c r="G86" s="77">
        <v>8400</v>
      </c>
      <c r="H86" s="71">
        <f t="shared" si="11"/>
        <v>38326</v>
      </c>
      <c r="J86" s="85"/>
      <c r="K86" s="86"/>
      <c r="L86" s="87" t="s">
        <v>72</v>
      </c>
      <c r="M86" s="262">
        <f t="shared" si="24"/>
        <v>95.9</v>
      </c>
      <c r="N86" s="262">
        <f t="shared" si="24"/>
        <v>95.8</v>
      </c>
      <c r="O86" s="262">
        <f t="shared" si="24"/>
        <v>97.1</v>
      </c>
      <c r="P86" s="262">
        <f t="shared" si="12"/>
        <v>96.2</v>
      </c>
    </row>
    <row r="87" spans="2:16">
      <c r="B87" s="546" t="s">
        <v>73</v>
      </c>
      <c r="C87" s="547"/>
      <c r="D87" s="82"/>
      <c r="E87" s="71"/>
      <c r="F87" s="71"/>
      <c r="G87" s="71"/>
      <c r="H87" s="71"/>
      <c r="J87" s="546" t="s">
        <v>73</v>
      </c>
      <c r="K87" s="547"/>
      <c r="L87" s="82"/>
      <c r="M87" s="262"/>
      <c r="N87" s="262"/>
      <c r="O87" s="262"/>
      <c r="P87" s="262"/>
    </row>
    <row r="88" spans="2:16">
      <c r="C88" s="113" t="s">
        <v>230</v>
      </c>
      <c r="D88" s="82" t="s">
        <v>23</v>
      </c>
      <c r="E88" s="71">
        <v>2919</v>
      </c>
      <c r="F88" s="71">
        <v>780</v>
      </c>
      <c r="G88" s="71">
        <v>1076</v>
      </c>
      <c r="H88" s="71">
        <f t="shared" si="11"/>
        <v>4775</v>
      </c>
      <c r="J88" s="63"/>
      <c r="K88" s="17" t="s">
        <v>26</v>
      </c>
      <c r="L88" s="70" t="s">
        <v>23</v>
      </c>
      <c r="M88" s="262">
        <f>ROUND(E88/SUM(E$88:E$90)*100, 1)</f>
        <v>11.1</v>
      </c>
      <c r="N88" s="262">
        <f>ROUND(F88/SUM(F$88:F$90)*100, 1)</f>
        <v>15.6</v>
      </c>
      <c r="O88" s="262">
        <f>ROUND(G88/SUM(G$88:G$90)*100, 1)</f>
        <v>12.4</v>
      </c>
      <c r="P88" s="262">
        <f t="shared" si="12"/>
        <v>12</v>
      </c>
    </row>
    <row r="89" spans="2:16">
      <c r="C89" s="64"/>
      <c r="D89" s="82" t="s">
        <v>27</v>
      </c>
      <c r="E89" s="71">
        <v>13025</v>
      </c>
      <c r="F89" s="71">
        <v>2697</v>
      </c>
      <c r="G89" s="71">
        <v>4019</v>
      </c>
      <c r="H89" s="71">
        <f t="shared" si="11"/>
        <v>19741</v>
      </c>
      <c r="J89" s="63"/>
      <c r="L89" s="70" t="s">
        <v>27</v>
      </c>
      <c r="M89" s="262">
        <f t="shared" ref="M89:O90" si="25">ROUND(E89/SUM(E$88:E$90)*100, 1)</f>
        <v>49.7</v>
      </c>
      <c r="N89" s="262">
        <f t="shared" si="25"/>
        <v>54</v>
      </c>
      <c r="O89" s="262">
        <f t="shared" si="25"/>
        <v>46.5</v>
      </c>
      <c r="P89" s="262">
        <f t="shared" si="12"/>
        <v>49.5</v>
      </c>
    </row>
    <row r="90" spans="2:16">
      <c r="C90" s="64"/>
      <c r="D90" s="82" t="s">
        <v>10</v>
      </c>
      <c r="E90" s="71">
        <v>10275</v>
      </c>
      <c r="F90" s="71">
        <v>1514</v>
      </c>
      <c r="G90" s="71">
        <v>3554</v>
      </c>
      <c r="H90" s="71">
        <f t="shared" si="11"/>
        <v>15343</v>
      </c>
      <c r="J90" s="63"/>
      <c r="L90" s="70" t="s">
        <v>10</v>
      </c>
      <c r="M90" s="262">
        <f t="shared" si="25"/>
        <v>39.200000000000003</v>
      </c>
      <c r="N90" s="262">
        <f t="shared" si="25"/>
        <v>30.3</v>
      </c>
      <c r="O90" s="262">
        <f t="shared" si="25"/>
        <v>41.1</v>
      </c>
      <c r="P90" s="262">
        <f t="shared" si="12"/>
        <v>38.5</v>
      </c>
    </row>
    <row r="91" spans="2:16">
      <c r="C91" s="17" t="s">
        <v>26</v>
      </c>
      <c r="D91" s="70" t="s">
        <v>23</v>
      </c>
      <c r="E91" s="71">
        <v>6968</v>
      </c>
      <c r="F91" s="71">
        <v>1683</v>
      </c>
      <c r="G91" s="71">
        <v>2731</v>
      </c>
      <c r="H91" s="71">
        <f t="shared" si="11"/>
        <v>11382</v>
      </c>
      <c r="J91" s="63"/>
      <c r="K91" s="17" t="s">
        <v>28</v>
      </c>
      <c r="L91" s="82" t="s">
        <v>23</v>
      </c>
      <c r="M91" s="262">
        <f>ROUND(E91/SUM(E$91:E$93)*100,1)</f>
        <v>26.6</v>
      </c>
      <c r="N91" s="262">
        <f>ROUND(F91/SUM(F$91:F$93)*100,1)</f>
        <v>33.700000000000003</v>
      </c>
      <c r="O91" s="262">
        <f>ROUND(G91/SUM(G$91:G$93)*100,1)</f>
        <v>31.6</v>
      </c>
      <c r="P91" s="262">
        <f t="shared" si="12"/>
        <v>28.6</v>
      </c>
    </row>
    <row r="92" spans="2:16">
      <c r="D92" s="70" t="s">
        <v>27</v>
      </c>
      <c r="E92" s="71">
        <v>15282</v>
      </c>
      <c r="F92" s="71">
        <v>2794</v>
      </c>
      <c r="G92" s="71">
        <v>4993</v>
      </c>
      <c r="H92" s="71">
        <f t="shared" si="11"/>
        <v>23069</v>
      </c>
      <c r="J92" s="63"/>
      <c r="L92" s="82" t="s">
        <v>27</v>
      </c>
      <c r="M92" s="262">
        <f t="shared" ref="M92:O93" si="26">ROUND(E92/SUM(E$91:E$93)*100,1)</f>
        <v>58.3</v>
      </c>
      <c r="N92" s="262">
        <f t="shared" si="26"/>
        <v>56</v>
      </c>
      <c r="O92" s="262">
        <f t="shared" si="26"/>
        <v>57.7</v>
      </c>
      <c r="P92" s="262">
        <f t="shared" si="12"/>
        <v>57.9</v>
      </c>
    </row>
    <row r="93" spans="2:16">
      <c r="D93" s="70" t="s">
        <v>10</v>
      </c>
      <c r="E93" s="71">
        <v>3969</v>
      </c>
      <c r="F93" s="71">
        <v>514</v>
      </c>
      <c r="G93" s="71">
        <v>925</v>
      </c>
      <c r="H93" s="71">
        <f t="shared" si="11"/>
        <v>5408</v>
      </c>
      <c r="J93" s="63"/>
      <c r="L93" s="82" t="s">
        <v>10</v>
      </c>
      <c r="M93" s="262">
        <f t="shared" si="26"/>
        <v>15.1</v>
      </c>
      <c r="N93" s="262">
        <f t="shared" si="26"/>
        <v>10.3</v>
      </c>
      <c r="O93" s="262">
        <f t="shared" si="26"/>
        <v>10.7</v>
      </c>
      <c r="P93" s="262">
        <f t="shared" si="12"/>
        <v>13.6</v>
      </c>
    </row>
    <row r="94" spans="2:16">
      <c r="C94" s="17" t="s">
        <v>229</v>
      </c>
      <c r="D94" s="82" t="s">
        <v>23</v>
      </c>
      <c r="E94" s="71">
        <v>19170</v>
      </c>
      <c r="F94" s="71">
        <v>3526</v>
      </c>
      <c r="G94" s="71">
        <v>5561</v>
      </c>
      <c r="H94" s="71">
        <f t="shared" si="11"/>
        <v>28257</v>
      </c>
      <c r="J94" s="63"/>
      <c r="K94" s="17" t="s">
        <v>29</v>
      </c>
      <c r="L94" s="82" t="s">
        <v>23</v>
      </c>
      <c r="M94" s="262">
        <f>ROUND(E94/SUM(E$94:E$96) * 100,1)</f>
        <v>73.099999999999994</v>
      </c>
      <c r="N94" s="262">
        <f>ROUND(F94/SUM(F$94:F$96) * 100,1)</f>
        <v>70.599999999999994</v>
      </c>
      <c r="O94" s="262">
        <f>ROUND(G94/SUM(G$94:G$96) * 100,1)</f>
        <v>64.3</v>
      </c>
      <c r="P94" s="262">
        <f t="shared" si="12"/>
        <v>70.900000000000006</v>
      </c>
    </row>
    <row r="95" spans="2:16">
      <c r="D95" s="82" t="s">
        <v>27</v>
      </c>
      <c r="E95" s="71">
        <v>2627</v>
      </c>
      <c r="F95" s="71">
        <v>782</v>
      </c>
      <c r="G95" s="71">
        <v>893</v>
      </c>
      <c r="H95" s="71">
        <f t="shared" si="11"/>
        <v>4302</v>
      </c>
      <c r="J95" s="63"/>
      <c r="L95" s="82" t="s">
        <v>27</v>
      </c>
      <c r="M95" s="262">
        <f t="shared" ref="M95:O96" si="27">ROUND(E95/SUM(E$94:E$96) * 100,1)</f>
        <v>10</v>
      </c>
      <c r="N95" s="262">
        <f t="shared" si="27"/>
        <v>15.7</v>
      </c>
      <c r="O95" s="262">
        <f t="shared" si="27"/>
        <v>10.3</v>
      </c>
      <c r="P95" s="262">
        <f t="shared" si="12"/>
        <v>10.8</v>
      </c>
    </row>
    <row r="96" spans="2:16">
      <c r="D96" s="82" t="s">
        <v>10</v>
      </c>
      <c r="E96" s="71">
        <v>4422</v>
      </c>
      <c r="F96" s="71">
        <v>683</v>
      </c>
      <c r="G96" s="71">
        <v>2195</v>
      </c>
      <c r="H96" s="71">
        <f t="shared" si="11"/>
        <v>7300</v>
      </c>
      <c r="J96" s="63"/>
      <c r="L96" s="82" t="s">
        <v>10</v>
      </c>
      <c r="M96" s="262">
        <f t="shared" si="27"/>
        <v>16.899999999999999</v>
      </c>
      <c r="N96" s="262">
        <f t="shared" si="27"/>
        <v>13.7</v>
      </c>
      <c r="O96" s="262">
        <f t="shared" si="27"/>
        <v>25.4</v>
      </c>
      <c r="P96" s="262">
        <f t="shared" si="12"/>
        <v>18.3</v>
      </c>
    </row>
    <row r="97" spans="3:16" ht="16.8">
      <c r="C97" s="17" t="s">
        <v>231</v>
      </c>
      <c r="D97" s="82" t="s">
        <v>23</v>
      </c>
      <c r="E97" s="71">
        <v>8346</v>
      </c>
      <c r="F97" s="71">
        <v>2020</v>
      </c>
      <c r="G97" s="71">
        <v>3480</v>
      </c>
      <c r="H97" s="71">
        <f t="shared" si="11"/>
        <v>13846</v>
      </c>
      <c r="J97" s="63"/>
      <c r="K97" s="113" t="s">
        <v>91</v>
      </c>
      <c r="L97" s="82" t="s">
        <v>23</v>
      </c>
      <c r="M97" s="262">
        <f>ROUND(E97/SUM(E$97:E$99) * 100,1)</f>
        <v>31.8</v>
      </c>
      <c r="N97" s="262">
        <f>ROUND(F97/SUM(F$97:F$99) * 100,1)</f>
        <v>40.5</v>
      </c>
      <c r="O97" s="262">
        <f>ROUND(G97/SUM(G$97:G$99) * 100,1)</f>
        <v>40.200000000000003</v>
      </c>
      <c r="P97" s="262">
        <f t="shared" si="12"/>
        <v>34.700000000000003</v>
      </c>
    </row>
    <row r="98" spans="3:16">
      <c r="D98" s="82" t="s">
        <v>27</v>
      </c>
      <c r="E98" s="71">
        <v>15720</v>
      </c>
      <c r="F98" s="71">
        <v>2683</v>
      </c>
      <c r="G98" s="71">
        <v>4658</v>
      </c>
      <c r="H98" s="71">
        <f t="shared" si="11"/>
        <v>23061</v>
      </c>
      <c r="J98" s="63"/>
      <c r="K98" s="64"/>
      <c r="L98" s="82" t="s">
        <v>27</v>
      </c>
      <c r="M98" s="262">
        <f t="shared" ref="M98:O99" si="28">ROUND(E98/SUM(E$97:E$99) * 100,1)</f>
        <v>60</v>
      </c>
      <c r="N98" s="262">
        <f t="shared" si="28"/>
        <v>53.8</v>
      </c>
      <c r="O98" s="262">
        <f t="shared" si="28"/>
        <v>53.9</v>
      </c>
      <c r="P98" s="262">
        <f t="shared" si="12"/>
        <v>57.9</v>
      </c>
    </row>
    <row r="99" spans="3:16">
      <c r="C99" s="42"/>
      <c r="D99" s="89" t="s">
        <v>10</v>
      </c>
      <c r="E99" s="90">
        <v>2153</v>
      </c>
      <c r="F99" s="90">
        <v>288</v>
      </c>
      <c r="G99" s="90">
        <v>511</v>
      </c>
      <c r="H99" s="90">
        <f t="shared" si="11"/>
        <v>2952</v>
      </c>
      <c r="J99" s="63"/>
      <c r="K99" s="92"/>
      <c r="L99" s="89" t="s">
        <v>10</v>
      </c>
      <c r="M99" s="265">
        <f t="shared" si="28"/>
        <v>8.1999999999999993</v>
      </c>
      <c r="N99" s="265">
        <f t="shared" si="28"/>
        <v>5.8</v>
      </c>
      <c r="O99" s="265">
        <f t="shared" si="28"/>
        <v>5.9</v>
      </c>
      <c r="P99" s="265">
        <f t="shared" si="12"/>
        <v>7.4</v>
      </c>
    </row>
  </sheetData>
  <mergeCells count="14">
    <mergeCell ref="J87:K87"/>
    <mergeCell ref="M55:P55"/>
    <mergeCell ref="B58:C58"/>
    <mergeCell ref="J58:K58"/>
    <mergeCell ref="B63:C63"/>
    <mergeCell ref="J63:K63"/>
    <mergeCell ref="E55:H55"/>
    <mergeCell ref="B74:C74"/>
    <mergeCell ref="J74:K74"/>
    <mergeCell ref="B5:C5"/>
    <mergeCell ref="B10:C10"/>
    <mergeCell ref="B21:C21"/>
    <mergeCell ref="B34:C34"/>
    <mergeCell ref="B87:C87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16"/>
  <sheetViews>
    <sheetView topLeftCell="A4" workbookViewId="0">
      <selection activeCell="K23" sqref="K23"/>
    </sheetView>
  </sheetViews>
  <sheetFormatPr defaultColWidth="9" defaultRowHeight="14.4"/>
  <cols>
    <col min="2" max="2" width="2" customWidth="1"/>
    <col min="3" max="3" width="22.21875" bestFit="1" customWidth="1"/>
    <col min="5" max="5" width="5.77734375" customWidth="1"/>
    <col min="6" max="6" width="7.6640625" bestFit="1" customWidth="1"/>
    <col min="7" max="7" width="8" bestFit="1" customWidth="1"/>
    <col min="8" max="8" width="15.33203125" bestFit="1" customWidth="1"/>
    <col min="9" max="9" width="7.88671875" customWidth="1"/>
  </cols>
  <sheetData>
    <row r="2" spans="2:9" ht="18" thickBot="1">
      <c r="B2" s="387"/>
      <c r="C2" s="387"/>
      <c r="D2" s="388" t="s">
        <v>375</v>
      </c>
      <c r="E2" s="388" t="s">
        <v>4</v>
      </c>
      <c r="F2" s="388" t="s">
        <v>376</v>
      </c>
      <c r="G2" s="388" t="s">
        <v>377</v>
      </c>
      <c r="H2" s="388" t="s">
        <v>378</v>
      </c>
      <c r="I2" s="389" t="s">
        <v>19</v>
      </c>
    </row>
    <row r="3" spans="2:9" ht="16.2" thickTop="1">
      <c r="B3" s="400" t="s">
        <v>379</v>
      </c>
      <c r="C3" s="400"/>
      <c r="D3" s="158"/>
      <c r="E3" s="158"/>
      <c r="F3" s="158"/>
      <c r="G3" s="158"/>
      <c r="H3" s="158"/>
      <c r="I3" s="158"/>
    </row>
    <row r="4" spans="2:9" ht="15.6">
      <c r="B4" s="158"/>
      <c r="C4" s="513" t="s">
        <v>5</v>
      </c>
      <c r="D4" s="391">
        <v>26219</v>
      </c>
      <c r="E4" s="392">
        <v>65.8</v>
      </c>
      <c r="F4" s="158"/>
      <c r="G4" s="158"/>
      <c r="H4" s="158"/>
      <c r="I4" s="158"/>
    </row>
    <row r="5" spans="2:9" ht="15.6">
      <c r="B5" s="158"/>
      <c r="C5" s="513" t="s">
        <v>6</v>
      </c>
      <c r="D5" s="393">
        <v>4991</v>
      </c>
      <c r="E5" s="392">
        <v>12.5</v>
      </c>
      <c r="F5" s="158"/>
      <c r="G5" s="158"/>
      <c r="H5" s="158"/>
      <c r="I5" s="158"/>
    </row>
    <row r="6" spans="2:9" ht="15.6">
      <c r="B6" s="158"/>
      <c r="C6" s="513" t="s">
        <v>7</v>
      </c>
      <c r="D6" s="393">
        <v>8649</v>
      </c>
      <c r="E6" s="392">
        <v>21.7</v>
      </c>
      <c r="F6" s="158"/>
      <c r="G6" s="158"/>
      <c r="H6" s="158"/>
      <c r="I6" s="158"/>
    </row>
    <row r="7" spans="2:9" ht="15.6">
      <c r="B7" s="401" t="s">
        <v>380</v>
      </c>
      <c r="C7" s="401"/>
      <c r="D7" s="158"/>
      <c r="E7" s="158"/>
      <c r="F7" s="158"/>
      <c r="G7" s="158"/>
      <c r="H7" s="158"/>
      <c r="I7" s="158"/>
    </row>
    <row r="8" spans="2:9" ht="15.6">
      <c r="B8" s="158"/>
      <c r="C8" s="513" t="s">
        <v>5</v>
      </c>
      <c r="D8" s="391">
        <v>1348</v>
      </c>
      <c r="E8" s="392">
        <v>73.900000000000006</v>
      </c>
      <c r="F8" s="392">
        <v>2013.34</v>
      </c>
      <c r="G8" s="392">
        <v>21.95</v>
      </c>
      <c r="H8" s="394" t="s">
        <v>381</v>
      </c>
      <c r="I8" s="158"/>
    </row>
    <row r="9" spans="2:9" ht="15.6">
      <c r="B9" s="158"/>
      <c r="C9" s="513" t="s">
        <v>6</v>
      </c>
      <c r="D9" s="392">
        <v>210</v>
      </c>
      <c r="E9" s="392">
        <v>11.5</v>
      </c>
      <c r="F9" s="392">
        <v>1977.78</v>
      </c>
      <c r="G9" s="392">
        <v>55.29</v>
      </c>
      <c r="H9" s="394" t="s">
        <v>382</v>
      </c>
      <c r="I9" s="158"/>
    </row>
    <row r="10" spans="2:9" ht="15.6">
      <c r="B10" s="158"/>
      <c r="C10" s="513" t="s">
        <v>7</v>
      </c>
      <c r="D10" s="392">
        <v>266</v>
      </c>
      <c r="E10" s="392">
        <v>14.6</v>
      </c>
      <c r="F10" s="392">
        <v>1890.83</v>
      </c>
      <c r="G10" s="392">
        <v>48.35</v>
      </c>
      <c r="H10" s="394" t="s">
        <v>383</v>
      </c>
      <c r="I10" s="158"/>
    </row>
    <row r="11" spans="2:9" ht="17.399999999999999">
      <c r="B11" s="383" t="s">
        <v>384</v>
      </c>
      <c r="C11" s="383"/>
      <c r="D11" s="384"/>
      <c r="E11" s="384"/>
      <c r="F11" s="385"/>
      <c r="G11" s="384"/>
      <c r="H11" s="162"/>
      <c r="I11" s="385"/>
    </row>
    <row r="12" spans="2:9" ht="15.6">
      <c r="B12" s="158"/>
      <c r="C12" s="513" t="s">
        <v>385</v>
      </c>
      <c r="D12" s="158"/>
      <c r="E12" s="158"/>
      <c r="F12" s="392">
        <v>35.56</v>
      </c>
      <c r="G12" s="158"/>
      <c r="H12" s="394" t="s">
        <v>386</v>
      </c>
      <c r="I12" s="515">
        <v>0.47</v>
      </c>
    </row>
    <row r="13" spans="2:9" ht="17.399999999999999">
      <c r="B13" s="158"/>
      <c r="C13" s="513" t="s">
        <v>387</v>
      </c>
      <c r="D13" s="158"/>
      <c r="E13" s="158"/>
      <c r="F13" s="392">
        <v>122.51</v>
      </c>
      <c r="G13" s="158"/>
      <c r="H13" s="394" t="s">
        <v>388</v>
      </c>
      <c r="I13" s="401" t="s">
        <v>389</v>
      </c>
    </row>
    <row r="14" spans="2:9" ht="17.399999999999999">
      <c r="B14" s="395"/>
      <c r="C14" s="514" t="s">
        <v>390</v>
      </c>
      <c r="D14" s="396"/>
      <c r="E14" s="397"/>
      <c r="F14" s="398">
        <v>35.56</v>
      </c>
      <c r="G14" s="397"/>
      <c r="H14" s="399" t="s">
        <v>391</v>
      </c>
      <c r="I14" s="516">
        <v>0.82199999999999995</v>
      </c>
    </row>
    <row r="15" spans="2:9" ht="15">
      <c r="B15" s="386" t="s">
        <v>392</v>
      </c>
      <c r="C15" s="386"/>
      <c r="D15" s="386"/>
      <c r="E15" s="386"/>
      <c r="F15" s="386"/>
      <c r="G15" s="386"/>
      <c r="H15" s="386"/>
      <c r="I15" s="386"/>
    </row>
    <row r="16" spans="2:9" ht="15">
      <c r="B16" s="386" t="s">
        <v>450</v>
      </c>
      <c r="C16" s="386"/>
      <c r="D16" s="158"/>
      <c r="E16" s="158"/>
      <c r="F16" s="158"/>
      <c r="G16" s="158"/>
      <c r="H16" s="158"/>
      <c r="I16" s="158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12"/>
  <sheetViews>
    <sheetView zoomScaleNormal="100" workbookViewId="0">
      <selection activeCell="I10" sqref="I10"/>
    </sheetView>
  </sheetViews>
  <sheetFormatPr defaultColWidth="9" defaultRowHeight="17.100000000000001" customHeight="1"/>
  <cols>
    <col min="1" max="1" width="9" style="17"/>
    <col min="2" max="2" width="6.33203125" style="17" customWidth="1"/>
    <col min="3" max="3" width="17.33203125" style="17" bestFit="1" customWidth="1"/>
    <col min="4" max="4" width="8.33203125" style="17" customWidth="1"/>
    <col min="5" max="5" width="6.88671875" style="17" customWidth="1"/>
    <col min="6" max="6" width="8.33203125" style="17" customWidth="1"/>
    <col min="7" max="7" width="8.21875" style="17" customWidth="1"/>
    <col min="8" max="8" width="16.6640625" style="17" customWidth="1"/>
    <col min="9" max="9" width="8.33203125" style="17" customWidth="1"/>
    <col min="10" max="10" width="31.88671875" style="17" bestFit="1" customWidth="1"/>
    <col min="11" max="16384" width="9" style="17"/>
  </cols>
  <sheetData>
    <row r="2" spans="2:10" ht="17.100000000000001" customHeight="1" thickBot="1">
      <c r="B2" s="325"/>
      <c r="C2" s="325"/>
      <c r="D2" s="325" t="s">
        <v>247</v>
      </c>
      <c r="E2" s="325" t="s">
        <v>4</v>
      </c>
      <c r="F2" s="325" t="s">
        <v>248</v>
      </c>
      <c r="G2" s="325" t="s">
        <v>335</v>
      </c>
      <c r="H2" s="325" t="s">
        <v>250</v>
      </c>
      <c r="I2" s="328" t="s">
        <v>249</v>
      </c>
    </row>
    <row r="3" spans="2:10" ht="17.100000000000001" customHeight="1" thickTop="1">
      <c r="B3" s="330" t="s">
        <v>0</v>
      </c>
      <c r="C3" s="64"/>
      <c r="E3" s="64"/>
      <c r="F3" s="64"/>
      <c r="G3" s="64"/>
      <c r="H3" s="64"/>
      <c r="J3" s="198" t="s">
        <v>162</v>
      </c>
    </row>
    <row r="4" spans="2:10" ht="17.100000000000001" customHeight="1">
      <c r="B4" s="64"/>
      <c r="C4" s="70" t="s">
        <v>5</v>
      </c>
      <c r="D4" s="321">
        <v>1348</v>
      </c>
      <c r="E4" s="327">
        <f>(D4/SUM($D$4:$D$6)*100)</f>
        <v>73.903508771929822</v>
      </c>
      <c r="F4" s="343">
        <v>2013.336</v>
      </c>
      <c r="G4" s="345">
        <v>21.954930000000001</v>
      </c>
      <c r="H4" s="329" t="str">
        <f>CONCATENATE("[", TEXT(F4-1.96*G4, "#.00"), ", ", TEXT(F4+1.96*G4,"#.00"), "]")</f>
        <v>[1970.30, 2056.37]</v>
      </c>
      <c r="J4" s="154" t="s">
        <v>245</v>
      </c>
    </row>
    <row r="5" spans="2:10" ht="17.100000000000001" customHeight="1">
      <c r="B5" s="260"/>
      <c r="C5" s="70" t="s">
        <v>6</v>
      </c>
      <c r="D5" s="72">
        <v>210</v>
      </c>
      <c r="E5" s="327">
        <f t="shared" ref="E5:E6" si="0">(D5/SUM($D$4:$D$6)*100)</f>
        <v>11.513157894736842</v>
      </c>
      <c r="F5" s="343">
        <v>1977.7760000000001</v>
      </c>
      <c r="G5" s="345">
        <v>55.287480000000002</v>
      </c>
      <c r="H5" s="329" t="str">
        <f t="shared" ref="H5:H6" si="1">CONCATENATE("[", TEXT(F5-1.96*G5, "#.00"), ", ", TEXT(F5+1.96*G5,"#.00"), "]")</f>
        <v>[1869.41, 2086.14]</v>
      </c>
      <c r="J5" s="154" t="s">
        <v>246</v>
      </c>
    </row>
    <row r="6" spans="2:10" ht="17.100000000000001" customHeight="1">
      <c r="B6" s="260"/>
      <c r="C6" s="70" t="s">
        <v>7</v>
      </c>
      <c r="D6" s="326">
        <v>266</v>
      </c>
      <c r="E6" s="327">
        <f t="shared" si="0"/>
        <v>14.583333333333334</v>
      </c>
      <c r="F6" s="343">
        <v>1890.8309999999999</v>
      </c>
      <c r="G6" s="346">
        <v>48.346519999999998</v>
      </c>
      <c r="H6" s="330" t="str">
        <f t="shared" si="1"/>
        <v>[1796.07, 1985.59]</v>
      </c>
      <c r="J6" s="154" t="s">
        <v>244</v>
      </c>
    </row>
    <row r="7" spans="2:10" ht="17.100000000000001" customHeight="1">
      <c r="B7" s="163" t="s">
        <v>253</v>
      </c>
      <c r="C7" s="102"/>
      <c r="D7" s="332"/>
      <c r="E7" s="333"/>
      <c r="F7" s="334"/>
      <c r="G7" s="164"/>
      <c r="H7" s="163"/>
      <c r="I7" s="84"/>
      <c r="J7" s="154"/>
    </row>
    <row r="8" spans="2:10" ht="17.100000000000001" customHeight="1">
      <c r="B8" s="70"/>
      <c r="C8" s="70" t="s">
        <v>252</v>
      </c>
      <c r="E8" s="322"/>
      <c r="F8" s="348">
        <v>35.55986</v>
      </c>
      <c r="G8" s="160"/>
      <c r="H8" s="330" t="str">
        <f>CONCATENATE("[", TEXT(-86.921947, "#.00"), ", ", TEXT(260.8127,"#.00"), "]")</f>
        <v>[-86.92, 260.81]</v>
      </c>
      <c r="I8" s="344">
        <v>0.46950920000000002</v>
      </c>
      <c r="J8" s="154"/>
    </row>
    <row r="9" spans="2:10" ht="17.100000000000001" customHeight="1">
      <c r="B9" s="70"/>
      <c r="C9" s="70" t="s">
        <v>336</v>
      </c>
      <c r="E9" s="322"/>
      <c r="F9" s="348">
        <v>122.50523</v>
      </c>
      <c r="G9" s="160"/>
      <c r="H9" s="330" t="str">
        <f>CONCATENATE("[", TEXT(-3.860974, "#.00"), ", ", TEXT(248.8714,"#.00"), "]")</f>
        <v>[-3.86, 248.87]</v>
      </c>
      <c r="I9" s="344">
        <v>5.9758100000000001E-2</v>
      </c>
      <c r="J9" s="154"/>
    </row>
    <row r="10" spans="2:10" ht="17.100000000000001" customHeight="1">
      <c r="B10" s="323"/>
      <c r="C10" s="323" t="s">
        <v>337</v>
      </c>
      <c r="D10" s="42"/>
      <c r="E10" s="324"/>
      <c r="F10" s="349">
        <v>35.55986</v>
      </c>
      <c r="G10" s="170"/>
      <c r="H10" s="169" t="str">
        <f>CONCATENATE("[", TEXT(-104.171553, "#.00"), ", ", TEXT(175.2913,"#.00"), "]")</f>
        <v>[-104.17, 175.29]</v>
      </c>
      <c r="I10" s="347">
        <v>0.82177840000000002</v>
      </c>
      <c r="J10" s="154"/>
    </row>
    <row r="11" spans="2:10" ht="13.8">
      <c r="B11" s="331" t="s">
        <v>254</v>
      </c>
      <c r="D11" s="72"/>
    </row>
    <row r="12" spans="2:10" ht="13.8">
      <c r="B12" s="331" t="s">
        <v>251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3"/>
  <sheetViews>
    <sheetView workbookViewId="0">
      <selection activeCell="N21" sqref="N21"/>
    </sheetView>
  </sheetViews>
  <sheetFormatPr defaultRowHeight="14.4"/>
  <cols>
    <col min="2" max="2" width="12.44140625" bestFit="1" customWidth="1"/>
    <col min="3" max="3" width="13.77734375" bestFit="1" customWidth="1"/>
    <col min="5" max="5" width="10.21875" bestFit="1" customWidth="1"/>
    <col min="10" max="10" width="9" style="255"/>
    <col min="11" max="11" width="9" style="254"/>
  </cols>
  <sheetData>
    <row r="1" spans="1:12" ht="18" thickBot="1">
      <c r="A1" s="418" t="s">
        <v>102</v>
      </c>
      <c r="B1" s="418" t="s">
        <v>103</v>
      </c>
      <c r="C1" s="418" t="s">
        <v>104</v>
      </c>
      <c r="D1" s="418" t="s">
        <v>395</v>
      </c>
      <c r="E1" s="418" t="s">
        <v>393</v>
      </c>
      <c r="F1" s="418" t="s">
        <v>464</v>
      </c>
      <c r="G1" s="418" t="s">
        <v>465</v>
      </c>
      <c r="H1" s="418" t="s">
        <v>4</v>
      </c>
      <c r="I1" s="69">
        <v>39859</v>
      </c>
    </row>
    <row r="2" spans="1:12" ht="18" thickTop="1">
      <c r="A2" s="403">
        <v>1</v>
      </c>
      <c r="B2" s="175" t="s">
        <v>460</v>
      </c>
      <c r="C2" s="419" t="s">
        <v>397</v>
      </c>
      <c r="D2" s="391">
        <v>28477</v>
      </c>
      <c r="E2" s="391">
        <v>4874095</v>
      </c>
      <c r="F2" s="420">
        <v>171.16</v>
      </c>
      <c r="G2" s="420">
        <v>330.35</v>
      </c>
      <c r="H2" s="503">
        <f>D2/$I$1 * 100</f>
        <v>71.44434130309341</v>
      </c>
      <c r="I2" s="157"/>
      <c r="J2" s="255" t="s">
        <v>212</v>
      </c>
      <c r="K2" s="254" t="s">
        <v>213</v>
      </c>
      <c r="L2" s="156" t="s">
        <v>135</v>
      </c>
    </row>
    <row r="3" spans="1:12" ht="15.6">
      <c r="A3" s="158"/>
      <c r="B3" s="175" t="s">
        <v>461</v>
      </c>
      <c r="C3" s="419" t="s">
        <v>399</v>
      </c>
      <c r="D3" s="391">
        <v>11602</v>
      </c>
      <c r="E3" s="391">
        <v>35081903</v>
      </c>
      <c r="F3" s="420">
        <v>3023.78</v>
      </c>
      <c r="G3" s="420">
        <v>2233.13</v>
      </c>
      <c r="H3" s="503">
        <f t="shared" ref="H3:H21" si="0">D3/$I$1 * 100</f>
        <v>29.107604305175744</v>
      </c>
      <c r="I3" s="159" t="s">
        <v>216</v>
      </c>
      <c r="J3" s="255" t="s">
        <v>221</v>
      </c>
      <c r="L3" t="s">
        <v>136</v>
      </c>
    </row>
    <row r="4" spans="1:12" ht="15.6">
      <c r="A4" s="158"/>
      <c r="B4" s="175" t="s">
        <v>462</v>
      </c>
      <c r="C4" s="419" t="s">
        <v>107</v>
      </c>
      <c r="D4" s="391">
        <v>2906</v>
      </c>
      <c r="E4" s="391">
        <v>375447</v>
      </c>
      <c r="F4" s="420">
        <v>129.19999999999999</v>
      </c>
      <c r="G4" s="420">
        <v>314.37</v>
      </c>
      <c r="H4" s="503">
        <f t="shared" si="0"/>
        <v>7.2906997165006651</v>
      </c>
      <c r="I4" s="160" t="s">
        <v>217</v>
      </c>
      <c r="J4" s="255" t="s">
        <v>225</v>
      </c>
      <c r="L4" t="s">
        <v>137</v>
      </c>
    </row>
    <row r="5" spans="1:12" ht="17.399999999999999">
      <c r="A5" s="158"/>
      <c r="B5" s="175" t="s">
        <v>463</v>
      </c>
      <c r="C5" s="419" t="s">
        <v>108</v>
      </c>
      <c r="D5" s="391">
        <v>3076</v>
      </c>
      <c r="E5" s="391">
        <v>467450</v>
      </c>
      <c r="F5" s="420">
        <v>151.97</v>
      </c>
      <c r="G5" s="420">
        <v>464.27</v>
      </c>
      <c r="H5" s="503">
        <f t="shared" si="0"/>
        <v>7.7172031410722788</v>
      </c>
      <c r="I5" s="160" t="s">
        <v>217</v>
      </c>
      <c r="J5" s="255" t="s">
        <v>224</v>
      </c>
    </row>
    <row r="6" spans="1:12" ht="15.6">
      <c r="A6" s="158"/>
      <c r="B6" s="158"/>
      <c r="C6" s="419" t="s">
        <v>109</v>
      </c>
      <c r="D6" s="420">
        <v>0</v>
      </c>
      <c r="E6" s="420">
        <v>0</v>
      </c>
      <c r="F6" s="158"/>
      <c r="G6" s="158"/>
      <c r="H6" s="503">
        <f t="shared" si="0"/>
        <v>0</v>
      </c>
      <c r="I6" s="160"/>
    </row>
    <row r="7" spans="1:12" ht="15.6">
      <c r="A7" s="158"/>
      <c r="B7" s="158"/>
      <c r="C7" s="419" t="s">
        <v>110</v>
      </c>
      <c r="D7" s="391">
        <v>1752</v>
      </c>
      <c r="E7" s="391">
        <v>258488</v>
      </c>
      <c r="F7" s="420">
        <v>147.54</v>
      </c>
      <c r="G7" s="420">
        <v>441.69</v>
      </c>
      <c r="H7" s="503">
        <f t="shared" si="0"/>
        <v>4.3954941167615846</v>
      </c>
      <c r="I7" s="160" t="s">
        <v>217</v>
      </c>
    </row>
    <row r="8" spans="1:12" ht="15.6">
      <c r="A8" s="158"/>
      <c r="B8" s="158"/>
      <c r="C8" s="419" t="s">
        <v>400</v>
      </c>
      <c r="D8" s="391">
        <v>1320</v>
      </c>
      <c r="E8" s="391">
        <v>112073</v>
      </c>
      <c r="F8" s="420">
        <v>84.9</v>
      </c>
      <c r="G8" s="420">
        <v>137.78</v>
      </c>
      <c r="H8" s="503">
        <f t="shared" si="0"/>
        <v>3.3116736496148929</v>
      </c>
      <c r="I8" s="160" t="s">
        <v>217</v>
      </c>
      <c r="J8" s="255" t="s">
        <v>222</v>
      </c>
    </row>
    <row r="9" spans="1:12" ht="15.6">
      <c r="A9" s="158"/>
      <c r="B9" s="158"/>
      <c r="C9" s="419" t="s">
        <v>111</v>
      </c>
      <c r="D9" s="391">
        <v>9962</v>
      </c>
      <c r="E9" s="391">
        <v>998080</v>
      </c>
      <c r="F9" s="420">
        <v>100.19</v>
      </c>
      <c r="G9" s="420">
        <v>248.51</v>
      </c>
      <c r="H9" s="503">
        <f t="shared" si="0"/>
        <v>24.993100679896635</v>
      </c>
      <c r="I9" s="161" t="s">
        <v>217</v>
      </c>
      <c r="J9" s="255" t="s">
        <v>225</v>
      </c>
      <c r="K9" s="254" t="s">
        <v>214</v>
      </c>
    </row>
    <row r="10" spans="1:12" ht="15.6">
      <c r="A10" s="158"/>
      <c r="B10" s="158"/>
      <c r="C10" s="419" t="s">
        <v>112</v>
      </c>
      <c r="D10" s="420">
        <v>325</v>
      </c>
      <c r="E10" s="391">
        <v>13564</v>
      </c>
      <c r="F10" s="420">
        <v>41.74</v>
      </c>
      <c r="G10" s="420">
        <v>67.64</v>
      </c>
      <c r="H10" s="503">
        <f t="shared" si="0"/>
        <v>0.81537419403396971</v>
      </c>
      <c r="I10" s="161" t="s">
        <v>219</v>
      </c>
      <c r="K10" s="254" t="s">
        <v>215</v>
      </c>
    </row>
    <row r="11" spans="1:12" ht="15.6">
      <c r="A11" s="158"/>
      <c r="B11" s="158"/>
      <c r="C11" s="419" t="s">
        <v>113</v>
      </c>
      <c r="D11" s="391">
        <v>1486</v>
      </c>
      <c r="E11" s="391">
        <v>140538</v>
      </c>
      <c r="F11" s="420">
        <v>94.57</v>
      </c>
      <c r="G11" s="420">
        <v>317.72000000000003</v>
      </c>
      <c r="H11" s="503">
        <f t="shared" si="0"/>
        <v>3.7281416994907048</v>
      </c>
      <c r="I11" s="160" t="s">
        <v>219</v>
      </c>
      <c r="J11" s="255" t="s">
        <v>226</v>
      </c>
    </row>
    <row r="12" spans="1:12" ht="15.6">
      <c r="A12" s="158"/>
      <c r="B12" s="158"/>
      <c r="C12" s="419" t="s">
        <v>114</v>
      </c>
      <c r="D12" s="391">
        <v>6641</v>
      </c>
      <c r="E12" s="391">
        <v>275248</v>
      </c>
      <c r="F12" s="420">
        <v>41.45</v>
      </c>
      <c r="G12" s="420">
        <v>94.86</v>
      </c>
      <c r="H12" s="503">
        <f t="shared" si="0"/>
        <v>16.661230838706441</v>
      </c>
      <c r="I12" s="160" t="s">
        <v>217</v>
      </c>
      <c r="J12" s="255" t="s">
        <v>223</v>
      </c>
    </row>
    <row r="13" spans="1:12" ht="15.6">
      <c r="A13" s="158"/>
      <c r="B13" s="158"/>
      <c r="C13" s="419" t="s">
        <v>401</v>
      </c>
      <c r="D13" s="391">
        <v>1789</v>
      </c>
      <c r="E13" s="391">
        <v>245487</v>
      </c>
      <c r="F13" s="420">
        <v>137.22</v>
      </c>
      <c r="G13" s="420">
        <v>304.08</v>
      </c>
      <c r="H13" s="503">
        <f t="shared" si="0"/>
        <v>4.48832133269776</v>
      </c>
      <c r="I13" s="160" t="s">
        <v>217</v>
      </c>
    </row>
    <row r="14" spans="1:12" ht="15.6">
      <c r="A14" s="158"/>
      <c r="B14" s="158"/>
      <c r="C14" s="419" t="s">
        <v>115</v>
      </c>
      <c r="D14" s="420">
        <v>217</v>
      </c>
      <c r="E14" s="391">
        <v>2371</v>
      </c>
      <c r="F14" s="420">
        <v>10.93</v>
      </c>
      <c r="G14" s="420">
        <v>16.29</v>
      </c>
      <c r="H14" s="503">
        <f t="shared" si="0"/>
        <v>0.54441907724729677</v>
      </c>
      <c r="I14" s="160" t="s">
        <v>219</v>
      </c>
    </row>
    <row r="15" spans="1:12" ht="15.6">
      <c r="A15" s="158"/>
      <c r="B15" s="158"/>
      <c r="C15" s="419" t="s">
        <v>116</v>
      </c>
      <c r="D15" s="420">
        <v>319</v>
      </c>
      <c r="E15" s="391">
        <v>19999</v>
      </c>
      <c r="F15" s="420">
        <v>62.69</v>
      </c>
      <c r="G15" s="420">
        <v>307.52999999999997</v>
      </c>
      <c r="H15" s="503">
        <f t="shared" si="0"/>
        <v>0.80032113199026567</v>
      </c>
      <c r="I15" s="161" t="s">
        <v>217</v>
      </c>
    </row>
    <row r="16" spans="1:12" ht="15.6">
      <c r="A16" s="158"/>
      <c r="B16" s="158"/>
      <c r="C16" s="419" t="s">
        <v>117</v>
      </c>
      <c r="D16" s="420">
        <v>245</v>
      </c>
      <c r="E16" s="391">
        <v>4416</v>
      </c>
      <c r="F16" s="420">
        <v>18.02</v>
      </c>
      <c r="G16" s="420">
        <v>15.55</v>
      </c>
      <c r="H16" s="503">
        <f t="shared" si="0"/>
        <v>0.61466670011791569</v>
      </c>
      <c r="I16" s="160" t="s">
        <v>217</v>
      </c>
      <c r="J16" s="255" t="s">
        <v>225</v>
      </c>
    </row>
    <row r="17" spans="1:11" ht="15.6">
      <c r="A17" s="158"/>
      <c r="B17" s="158"/>
      <c r="C17" s="419" t="s">
        <v>118</v>
      </c>
      <c r="D17" s="420">
        <v>3076</v>
      </c>
      <c r="E17" s="420">
        <v>467450</v>
      </c>
      <c r="F17" s="404">
        <v>151.97</v>
      </c>
      <c r="G17" s="404">
        <v>464.27</v>
      </c>
      <c r="H17" s="503">
        <f t="shared" si="0"/>
        <v>7.7172031410722788</v>
      </c>
      <c r="I17" s="160"/>
    </row>
    <row r="18" spans="1:11" ht="15.6">
      <c r="A18" s="158"/>
      <c r="B18" s="158"/>
      <c r="C18" s="419" t="s">
        <v>119</v>
      </c>
      <c r="D18" s="391">
        <v>4352</v>
      </c>
      <c r="E18" s="391">
        <v>563331</v>
      </c>
      <c r="F18" s="420">
        <v>129.44</v>
      </c>
      <c r="G18" s="420">
        <v>326.08999999999997</v>
      </c>
      <c r="H18" s="503">
        <f t="shared" si="0"/>
        <v>10.918487669033343</v>
      </c>
      <c r="I18" s="161" t="s">
        <v>217</v>
      </c>
      <c r="J18" s="255" t="s">
        <v>226</v>
      </c>
    </row>
    <row r="19" spans="1:11" ht="15.6">
      <c r="A19" s="158"/>
      <c r="B19" s="158"/>
      <c r="C19" s="419" t="s">
        <v>402</v>
      </c>
      <c r="D19" s="420">
        <v>120</v>
      </c>
      <c r="E19" s="391">
        <v>15795</v>
      </c>
      <c r="F19" s="420">
        <v>131.63</v>
      </c>
      <c r="G19" s="420">
        <v>178.66</v>
      </c>
      <c r="H19" s="503">
        <f t="shared" si="0"/>
        <v>0.30106124087408115</v>
      </c>
      <c r="I19" s="160" t="s">
        <v>217</v>
      </c>
    </row>
    <row r="20" spans="1:11" ht="15.6">
      <c r="A20" s="158"/>
      <c r="B20" s="158"/>
      <c r="C20" s="419" t="s">
        <v>120</v>
      </c>
      <c r="D20" s="420">
        <v>104</v>
      </c>
      <c r="E20" s="391">
        <v>16029</v>
      </c>
      <c r="F20" s="420">
        <v>154.13</v>
      </c>
      <c r="G20" s="420">
        <v>353.05</v>
      </c>
      <c r="H20" s="503">
        <f t="shared" si="0"/>
        <v>0.26091974209087032</v>
      </c>
      <c r="I20" s="160" t="s">
        <v>216</v>
      </c>
      <c r="J20" s="255" t="s">
        <v>222</v>
      </c>
    </row>
    <row r="21" spans="1:11" ht="15.6">
      <c r="A21" s="158"/>
      <c r="B21" s="517"/>
      <c r="C21" s="518" t="s">
        <v>403</v>
      </c>
      <c r="D21" s="443">
        <v>12775</v>
      </c>
      <c r="E21" s="443">
        <v>830064</v>
      </c>
      <c r="F21" s="444">
        <v>64.98</v>
      </c>
      <c r="G21" s="444">
        <v>118.37</v>
      </c>
      <c r="H21" s="506">
        <f t="shared" si="0"/>
        <v>32.050477934719893</v>
      </c>
      <c r="I21" s="161" t="s">
        <v>219</v>
      </c>
    </row>
    <row r="22" spans="1:11" s="520" customFormat="1" ht="15">
      <c r="A22" s="500"/>
      <c r="B22" s="535" t="s">
        <v>458</v>
      </c>
      <c r="C22" s="500"/>
      <c r="D22" s="500"/>
      <c r="E22" s="519"/>
      <c r="F22" s="519"/>
      <c r="G22" s="519"/>
      <c r="H22" s="519"/>
      <c r="J22" s="521"/>
      <c r="K22" s="522"/>
    </row>
    <row r="23" spans="1:11" s="520" customFormat="1" ht="15">
      <c r="A23" s="500"/>
      <c r="B23" s="535" t="s">
        <v>459</v>
      </c>
      <c r="C23" s="500"/>
      <c r="D23" s="523"/>
      <c r="E23" s="523"/>
      <c r="F23" s="523"/>
      <c r="G23" s="523"/>
      <c r="H23" s="523"/>
      <c r="J23" s="521"/>
      <c r="K23" s="522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zoomScale="90" zoomScaleNormal="90" workbookViewId="0">
      <selection activeCell="F2" sqref="F2"/>
    </sheetView>
  </sheetViews>
  <sheetFormatPr defaultRowHeight="14.4"/>
  <cols>
    <col min="2" max="2" width="12.44140625" bestFit="1" customWidth="1"/>
    <col min="3" max="3" width="13.77734375" bestFit="1" customWidth="1"/>
    <col min="5" max="5" width="10.21875" bestFit="1" customWidth="1"/>
    <col min="10" max="10" width="9" style="255"/>
    <col min="11" max="11" width="9" style="254"/>
  </cols>
  <sheetData>
    <row r="1" spans="1:12" ht="18" thickBot="1">
      <c r="A1" s="418" t="s">
        <v>102</v>
      </c>
      <c r="B1" s="418" t="s">
        <v>103</v>
      </c>
      <c r="C1" s="418" t="s">
        <v>104</v>
      </c>
      <c r="D1" s="418" t="s">
        <v>395</v>
      </c>
      <c r="E1" s="418" t="s">
        <v>393</v>
      </c>
      <c r="F1" s="418" t="s">
        <v>376</v>
      </c>
      <c r="G1" s="418" t="s">
        <v>394</v>
      </c>
      <c r="H1" s="418" t="s">
        <v>4</v>
      </c>
      <c r="I1" s="69">
        <v>39859</v>
      </c>
    </row>
    <row r="2" spans="1:12" ht="18" thickTop="1">
      <c r="A2" s="403">
        <v>1</v>
      </c>
      <c r="B2" s="175" t="s">
        <v>396</v>
      </c>
      <c r="C2" s="419" t="s">
        <v>397</v>
      </c>
      <c r="D2" s="391">
        <v>28477</v>
      </c>
      <c r="E2" s="391">
        <v>4874095</v>
      </c>
      <c r="F2" s="420">
        <v>171.16</v>
      </c>
      <c r="G2" s="420">
        <v>330.35</v>
      </c>
      <c r="H2" s="503">
        <f>D2/$I$1*100</f>
        <v>71.44434130309341</v>
      </c>
      <c r="I2" s="157"/>
      <c r="J2" s="255" t="s">
        <v>212</v>
      </c>
      <c r="K2" s="254" t="s">
        <v>213</v>
      </c>
      <c r="L2" s="156" t="s">
        <v>135</v>
      </c>
    </row>
    <row r="3" spans="1:12" ht="15.6">
      <c r="A3" s="158"/>
      <c r="B3" s="175" t="s">
        <v>398</v>
      </c>
      <c r="C3" s="419" t="s">
        <v>399</v>
      </c>
      <c r="D3" s="391">
        <v>11602</v>
      </c>
      <c r="E3" s="391">
        <v>35081903</v>
      </c>
      <c r="F3" s="420">
        <v>3023.78</v>
      </c>
      <c r="G3" s="420">
        <v>2233.13</v>
      </c>
      <c r="H3" s="503">
        <f t="shared" ref="H3:H21" si="0">D3/$I$1*100</f>
        <v>29.107604305175744</v>
      </c>
      <c r="I3" s="159" t="s">
        <v>216</v>
      </c>
      <c r="J3" s="255" t="s">
        <v>221</v>
      </c>
      <c r="L3" t="s">
        <v>136</v>
      </c>
    </row>
    <row r="4" spans="1:12" ht="15.6">
      <c r="A4" s="158"/>
      <c r="B4" s="175" t="s">
        <v>105</v>
      </c>
      <c r="C4" s="419" t="s">
        <v>107</v>
      </c>
      <c r="D4" s="391">
        <v>2906</v>
      </c>
      <c r="E4" s="391">
        <v>375447</v>
      </c>
      <c r="F4" s="420">
        <v>129.19999999999999</v>
      </c>
      <c r="G4" s="420">
        <v>314.37</v>
      </c>
      <c r="H4" s="503">
        <f t="shared" si="0"/>
        <v>7.2906997165006651</v>
      </c>
      <c r="I4" s="160" t="s">
        <v>217</v>
      </c>
      <c r="J4" s="255" t="s">
        <v>225</v>
      </c>
      <c r="L4" t="s">
        <v>137</v>
      </c>
    </row>
    <row r="5" spans="1:12" ht="15.6">
      <c r="A5" s="158"/>
      <c r="B5" s="175" t="s">
        <v>106</v>
      </c>
      <c r="C5" s="419" t="s">
        <v>108</v>
      </c>
      <c r="D5" s="391">
        <v>3076</v>
      </c>
      <c r="E5" s="391">
        <v>467450</v>
      </c>
      <c r="F5" s="420">
        <v>151.97</v>
      </c>
      <c r="G5" s="420">
        <v>464.27</v>
      </c>
      <c r="H5" s="503">
        <f t="shared" si="0"/>
        <v>7.7172031410722788</v>
      </c>
      <c r="I5" s="160" t="s">
        <v>217</v>
      </c>
      <c r="J5" s="255" t="s">
        <v>224</v>
      </c>
    </row>
    <row r="6" spans="1:12" ht="15.6">
      <c r="A6" s="158"/>
      <c r="B6" s="158"/>
      <c r="C6" s="419" t="s">
        <v>109</v>
      </c>
      <c r="D6" s="420">
        <v>0</v>
      </c>
      <c r="E6" s="420">
        <v>0</v>
      </c>
      <c r="F6" s="158"/>
      <c r="G6" s="158"/>
      <c r="H6" s="503">
        <f t="shared" si="0"/>
        <v>0</v>
      </c>
      <c r="I6" s="160"/>
    </row>
    <row r="7" spans="1:12" ht="15.6">
      <c r="A7" s="158"/>
      <c r="B7" s="158"/>
      <c r="C7" s="419" t="s">
        <v>110</v>
      </c>
      <c r="D7" s="391">
        <v>1752</v>
      </c>
      <c r="E7" s="391">
        <v>258488</v>
      </c>
      <c r="F7" s="420">
        <v>147.54</v>
      </c>
      <c r="G7" s="420">
        <v>441.69</v>
      </c>
      <c r="H7" s="503">
        <f t="shared" si="0"/>
        <v>4.3954941167615846</v>
      </c>
      <c r="I7" s="160" t="s">
        <v>217</v>
      </c>
    </row>
    <row r="8" spans="1:12" ht="15.6">
      <c r="A8" s="158"/>
      <c r="B8" s="158"/>
      <c r="C8" s="419" t="s">
        <v>400</v>
      </c>
      <c r="D8" s="391">
        <v>1320</v>
      </c>
      <c r="E8" s="391">
        <v>112073</v>
      </c>
      <c r="F8" s="420">
        <v>84.9</v>
      </c>
      <c r="G8" s="420">
        <v>137.78</v>
      </c>
      <c r="H8" s="503">
        <f t="shared" si="0"/>
        <v>3.3116736496148929</v>
      </c>
      <c r="I8" s="160" t="s">
        <v>217</v>
      </c>
      <c r="J8" s="255" t="s">
        <v>222</v>
      </c>
    </row>
    <row r="9" spans="1:12" ht="15.6">
      <c r="A9" s="158"/>
      <c r="B9" s="158"/>
      <c r="C9" s="419" t="s">
        <v>111</v>
      </c>
      <c r="D9" s="391">
        <v>9962</v>
      </c>
      <c r="E9" s="391">
        <v>998080</v>
      </c>
      <c r="F9" s="420">
        <v>100.19</v>
      </c>
      <c r="G9" s="420">
        <v>248.51</v>
      </c>
      <c r="H9" s="503">
        <f t="shared" si="0"/>
        <v>24.993100679896635</v>
      </c>
      <c r="I9" s="161" t="s">
        <v>218</v>
      </c>
      <c r="J9" s="255" t="s">
        <v>225</v>
      </c>
      <c r="K9" s="254" t="s">
        <v>214</v>
      </c>
    </row>
    <row r="10" spans="1:12" ht="15.6">
      <c r="A10" s="158"/>
      <c r="B10" s="158"/>
      <c r="C10" s="419" t="s">
        <v>112</v>
      </c>
      <c r="D10" s="420">
        <v>325</v>
      </c>
      <c r="E10" s="391">
        <v>13564</v>
      </c>
      <c r="F10" s="420">
        <v>41.74</v>
      </c>
      <c r="G10" s="420">
        <v>67.64</v>
      </c>
      <c r="H10" s="503">
        <f t="shared" si="0"/>
        <v>0.81537419403396971</v>
      </c>
      <c r="I10" s="161" t="s">
        <v>219</v>
      </c>
      <c r="K10" s="254" t="s">
        <v>215</v>
      </c>
    </row>
    <row r="11" spans="1:12" ht="15.6">
      <c r="A11" s="158"/>
      <c r="B11" s="158"/>
      <c r="C11" s="419" t="s">
        <v>113</v>
      </c>
      <c r="D11" s="391">
        <v>1486</v>
      </c>
      <c r="E11" s="391">
        <v>140538</v>
      </c>
      <c r="F11" s="420">
        <v>94.57</v>
      </c>
      <c r="G11" s="420">
        <v>317.72000000000003</v>
      </c>
      <c r="H11" s="503">
        <f t="shared" si="0"/>
        <v>3.7281416994907048</v>
      </c>
      <c r="I11" s="160" t="s">
        <v>219</v>
      </c>
      <c r="J11" s="255" t="s">
        <v>226</v>
      </c>
    </row>
    <row r="12" spans="1:12" ht="15.6">
      <c r="A12" s="158"/>
      <c r="B12" s="158"/>
      <c r="C12" s="419" t="s">
        <v>114</v>
      </c>
      <c r="D12" s="391">
        <v>6641</v>
      </c>
      <c r="E12" s="391">
        <v>275248</v>
      </c>
      <c r="F12" s="420">
        <v>41.45</v>
      </c>
      <c r="G12" s="420">
        <v>94.86</v>
      </c>
      <c r="H12" s="503">
        <f t="shared" si="0"/>
        <v>16.661230838706441</v>
      </c>
      <c r="I12" s="160" t="s">
        <v>217</v>
      </c>
      <c r="J12" s="255" t="s">
        <v>223</v>
      </c>
    </row>
    <row r="13" spans="1:12" ht="15.6">
      <c r="A13" s="158"/>
      <c r="B13" s="158"/>
      <c r="C13" s="419" t="s">
        <v>401</v>
      </c>
      <c r="D13" s="391">
        <v>1789</v>
      </c>
      <c r="E13" s="391">
        <v>245487</v>
      </c>
      <c r="F13" s="420">
        <v>137.22</v>
      </c>
      <c r="G13" s="420">
        <v>304.08</v>
      </c>
      <c r="H13" s="503">
        <f t="shared" si="0"/>
        <v>4.48832133269776</v>
      </c>
      <c r="I13" s="160" t="s">
        <v>217</v>
      </c>
    </row>
    <row r="14" spans="1:12" ht="15.6">
      <c r="A14" s="158"/>
      <c r="B14" s="158"/>
      <c r="C14" s="419" t="s">
        <v>115</v>
      </c>
      <c r="D14" s="420">
        <v>217</v>
      </c>
      <c r="E14" s="391">
        <v>2371</v>
      </c>
      <c r="F14" s="420">
        <v>10.93</v>
      </c>
      <c r="G14" s="420">
        <v>16.29</v>
      </c>
      <c r="H14" s="503">
        <f t="shared" si="0"/>
        <v>0.54441907724729677</v>
      </c>
      <c r="I14" s="160" t="s">
        <v>219</v>
      </c>
    </row>
    <row r="15" spans="1:12" ht="15.6">
      <c r="A15" s="158"/>
      <c r="B15" s="158"/>
      <c r="C15" s="419" t="s">
        <v>116</v>
      </c>
      <c r="D15" s="420">
        <v>319</v>
      </c>
      <c r="E15" s="391">
        <v>19999</v>
      </c>
      <c r="F15" s="420">
        <v>62.69</v>
      </c>
      <c r="G15" s="420">
        <v>307.52999999999997</v>
      </c>
      <c r="H15" s="503">
        <f t="shared" si="0"/>
        <v>0.80032113199026567</v>
      </c>
      <c r="I15" s="161" t="s">
        <v>217</v>
      </c>
    </row>
    <row r="16" spans="1:12" ht="15.6">
      <c r="A16" s="158"/>
      <c r="B16" s="158"/>
      <c r="C16" s="419" t="s">
        <v>117</v>
      </c>
      <c r="D16" s="420">
        <v>245</v>
      </c>
      <c r="E16" s="391">
        <v>4416</v>
      </c>
      <c r="F16" s="420">
        <v>18.02</v>
      </c>
      <c r="G16" s="420">
        <v>15.55</v>
      </c>
      <c r="H16" s="503">
        <f t="shared" si="0"/>
        <v>0.61466670011791569</v>
      </c>
      <c r="I16" s="160" t="s">
        <v>217</v>
      </c>
      <c r="J16" s="255" t="s">
        <v>225</v>
      </c>
    </row>
    <row r="17" spans="1:13" ht="15.6">
      <c r="A17" s="158"/>
      <c r="B17" s="158"/>
      <c r="C17" s="419" t="s">
        <v>118</v>
      </c>
      <c r="D17" s="420">
        <v>3076</v>
      </c>
      <c r="E17" s="420">
        <v>467450</v>
      </c>
      <c r="F17" s="404">
        <v>151.97</v>
      </c>
      <c r="G17" s="404">
        <v>464.27</v>
      </c>
      <c r="H17" s="503">
        <f t="shared" si="0"/>
        <v>7.7172031410722788</v>
      </c>
      <c r="I17" s="160"/>
    </row>
    <row r="18" spans="1:13" ht="15.6">
      <c r="A18" s="158"/>
      <c r="B18" s="158"/>
      <c r="C18" s="419" t="s">
        <v>119</v>
      </c>
      <c r="D18" s="391">
        <v>4352</v>
      </c>
      <c r="E18" s="391">
        <v>563331</v>
      </c>
      <c r="F18" s="420">
        <v>129.44</v>
      </c>
      <c r="G18" s="420">
        <v>326.08999999999997</v>
      </c>
      <c r="H18" s="503">
        <f t="shared" si="0"/>
        <v>10.918487669033343</v>
      </c>
      <c r="I18" s="161" t="s">
        <v>217</v>
      </c>
      <c r="J18" s="255" t="s">
        <v>226</v>
      </c>
    </row>
    <row r="19" spans="1:13" ht="15.6">
      <c r="A19" s="158"/>
      <c r="B19" s="158"/>
      <c r="C19" s="419" t="s">
        <v>402</v>
      </c>
      <c r="D19" s="420">
        <v>120</v>
      </c>
      <c r="E19" s="391">
        <v>15795</v>
      </c>
      <c r="F19" s="420">
        <v>131.63</v>
      </c>
      <c r="G19" s="420">
        <v>178.66</v>
      </c>
      <c r="H19" s="503">
        <f t="shared" si="0"/>
        <v>0.30106124087408115</v>
      </c>
      <c r="I19" s="160" t="s">
        <v>217</v>
      </c>
    </row>
    <row r="20" spans="1:13" ht="15.6">
      <c r="A20" s="158"/>
      <c r="B20" s="158"/>
      <c r="C20" s="419" t="s">
        <v>120</v>
      </c>
      <c r="D20" s="420">
        <v>104</v>
      </c>
      <c r="E20" s="391">
        <v>16029</v>
      </c>
      <c r="F20" s="420">
        <v>154.13</v>
      </c>
      <c r="G20" s="420">
        <v>353.05</v>
      </c>
      <c r="H20" s="503">
        <f t="shared" si="0"/>
        <v>0.26091974209087032</v>
      </c>
      <c r="I20" s="160" t="s">
        <v>220</v>
      </c>
      <c r="J20" s="255" t="s">
        <v>222</v>
      </c>
    </row>
    <row r="21" spans="1:13" ht="15.6">
      <c r="A21" s="158"/>
      <c r="B21" s="158"/>
      <c r="C21" s="419" t="s">
        <v>403</v>
      </c>
      <c r="D21" s="391">
        <v>12775</v>
      </c>
      <c r="E21" s="391">
        <v>830064</v>
      </c>
      <c r="F21" s="420">
        <v>64.98</v>
      </c>
      <c r="G21" s="420">
        <v>118.37</v>
      </c>
      <c r="H21" s="503">
        <f t="shared" si="0"/>
        <v>32.050477934719893</v>
      </c>
      <c r="I21" s="161" t="s">
        <v>219</v>
      </c>
    </row>
    <row r="22" spans="1:13" ht="15.6">
      <c r="A22" s="405">
        <v>2</v>
      </c>
      <c r="B22" s="406" t="s">
        <v>121</v>
      </c>
      <c r="C22" s="407" t="s">
        <v>122</v>
      </c>
      <c r="D22" s="408">
        <v>740</v>
      </c>
      <c r="E22" s="409">
        <v>8882</v>
      </c>
      <c r="F22" s="408">
        <v>12</v>
      </c>
      <c r="G22" s="408">
        <v>40</v>
      </c>
      <c r="H22" s="408">
        <v>0.33</v>
      </c>
      <c r="I22" s="160"/>
      <c r="J22" s="428" t="s">
        <v>406</v>
      </c>
      <c r="K22" s="429"/>
      <c r="L22" s="429"/>
      <c r="M22" s="429"/>
    </row>
    <row r="23" spans="1:13" ht="17.399999999999999">
      <c r="A23" s="410"/>
      <c r="B23" s="411" t="s">
        <v>106</v>
      </c>
      <c r="C23" s="412" t="s">
        <v>123</v>
      </c>
      <c r="D23" s="413">
        <v>8581</v>
      </c>
      <c r="E23" s="413">
        <v>1132147</v>
      </c>
      <c r="F23" s="414">
        <v>132</v>
      </c>
      <c r="G23" s="414">
        <v>606</v>
      </c>
      <c r="H23" s="414">
        <v>3.82</v>
      </c>
      <c r="I23" s="160"/>
    </row>
    <row r="24" spans="1:13" ht="15.6">
      <c r="A24" s="421">
        <v>3</v>
      </c>
      <c r="B24" s="422" t="s">
        <v>124</v>
      </c>
      <c r="C24" s="423" t="s">
        <v>125</v>
      </c>
      <c r="D24" s="424">
        <v>22</v>
      </c>
      <c r="E24" s="194">
        <v>1992</v>
      </c>
      <c r="F24" s="424">
        <v>91</v>
      </c>
      <c r="G24" s="424">
        <v>128</v>
      </c>
      <c r="H24" s="424">
        <v>0.01</v>
      </c>
      <c r="I24" s="160"/>
    </row>
    <row r="25" spans="1:13" ht="15.6">
      <c r="A25" s="158"/>
      <c r="B25" s="422" t="s">
        <v>106</v>
      </c>
      <c r="C25" s="423" t="s">
        <v>126</v>
      </c>
      <c r="D25" s="424">
        <v>14</v>
      </c>
      <c r="E25" s="194">
        <v>3775</v>
      </c>
      <c r="F25" s="424">
        <v>270</v>
      </c>
      <c r="G25" s="424">
        <v>317</v>
      </c>
      <c r="H25" s="424">
        <v>0.01</v>
      </c>
      <c r="I25" s="160"/>
    </row>
    <row r="26" spans="1:13" ht="15.6">
      <c r="A26" s="158"/>
      <c r="B26" s="158"/>
      <c r="C26" s="423" t="s">
        <v>127</v>
      </c>
      <c r="D26" s="424">
        <v>1</v>
      </c>
      <c r="E26" s="424">
        <v>510</v>
      </c>
      <c r="F26" s="424">
        <v>510</v>
      </c>
      <c r="G26" s="158"/>
      <c r="H26" s="424">
        <v>0</v>
      </c>
      <c r="I26" s="160"/>
    </row>
    <row r="27" spans="1:13" ht="17.399999999999999">
      <c r="A27" s="415"/>
      <c r="B27" s="406" t="s">
        <v>128</v>
      </c>
      <c r="C27" s="407" t="s">
        <v>129</v>
      </c>
      <c r="D27" s="408">
        <v>21</v>
      </c>
      <c r="E27" s="408">
        <v>154</v>
      </c>
      <c r="F27" s="408">
        <v>7</v>
      </c>
      <c r="G27" s="408">
        <v>9</v>
      </c>
      <c r="H27" s="408">
        <v>0.01</v>
      </c>
      <c r="I27" s="160"/>
    </row>
    <row r="28" spans="1:13" ht="15.6">
      <c r="A28" s="158"/>
      <c r="B28" s="422" t="s">
        <v>106</v>
      </c>
      <c r="C28" s="423" t="s">
        <v>130</v>
      </c>
      <c r="D28" s="424">
        <v>20</v>
      </c>
      <c r="E28" s="424">
        <v>162</v>
      </c>
      <c r="F28" s="424">
        <v>8</v>
      </c>
      <c r="G28" s="424">
        <v>5</v>
      </c>
      <c r="H28" s="424">
        <v>0.01</v>
      </c>
      <c r="I28" s="160"/>
    </row>
    <row r="29" spans="1:13" ht="15.6">
      <c r="A29" s="158"/>
      <c r="B29" s="158"/>
      <c r="C29" s="423" t="s">
        <v>131</v>
      </c>
      <c r="D29" s="424">
        <v>1</v>
      </c>
      <c r="E29" s="424">
        <v>2</v>
      </c>
      <c r="F29" s="424">
        <v>2</v>
      </c>
      <c r="G29" s="158"/>
      <c r="H29" s="424">
        <v>0</v>
      </c>
      <c r="I29" s="160"/>
    </row>
    <row r="30" spans="1:13" ht="15.6">
      <c r="A30" s="158"/>
      <c r="B30" s="158"/>
      <c r="C30" s="423" t="s">
        <v>132</v>
      </c>
      <c r="D30" s="424">
        <v>13</v>
      </c>
      <c r="E30" s="424">
        <v>399</v>
      </c>
      <c r="F30" s="424">
        <v>31</v>
      </c>
      <c r="G30" s="424">
        <v>42</v>
      </c>
      <c r="H30" s="424">
        <v>0.01</v>
      </c>
      <c r="I30" s="160"/>
    </row>
    <row r="31" spans="1:13" ht="17.399999999999999">
      <c r="A31" s="425"/>
      <c r="B31" s="425"/>
      <c r="C31" s="426" t="s">
        <v>133</v>
      </c>
      <c r="D31" s="427">
        <v>3</v>
      </c>
      <c r="E31" s="427">
        <v>6</v>
      </c>
      <c r="F31" s="427">
        <v>2</v>
      </c>
      <c r="G31" s="427">
        <v>0</v>
      </c>
      <c r="H31" s="427">
        <v>0</v>
      </c>
      <c r="I31" s="160"/>
    </row>
    <row r="32" spans="1:13" ht="15">
      <c r="A32" s="553" t="s">
        <v>404</v>
      </c>
      <c r="B32" s="553"/>
      <c r="C32" s="553"/>
      <c r="D32" s="416"/>
      <c r="E32" s="417"/>
      <c r="F32" s="417"/>
      <c r="G32" s="417"/>
      <c r="H32" s="417"/>
    </row>
    <row r="33" spans="1:8">
      <c r="A33" s="554" t="s">
        <v>405</v>
      </c>
      <c r="B33" s="554"/>
      <c r="C33" s="554"/>
      <c r="D33" s="158"/>
      <c r="E33" s="158"/>
      <c r="F33" s="158"/>
      <c r="G33" s="158"/>
      <c r="H33" s="158"/>
    </row>
  </sheetData>
  <mergeCells count="2">
    <mergeCell ref="A32:C32"/>
    <mergeCell ref="A33:C33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N21"/>
  <sheetViews>
    <sheetView topLeftCell="A4" workbookViewId="0">
      <selection activeCell="L29" sqref="L29"/>
    </sheetView>
  </sheetViews>
  <sheetFormatPr defaultColWidth="9" defaultRowHeight="14.4"/>
  <cols>
    <col min="1" max="1" width="9" style="59"/>
    <col min="2" max="2" width="4.88671875" style="59" customWidth="1"/>
    <col min="3" max="3" width="12.33203125" style="59" customWidth="1"/>
    <col min="4" max="6" width="7.109375" style="59" customWidth="1"/>
    <col min="7" max="7" width="11.44140625" style="59" bestFit="1" customWidth="1"/>
    <col min="8" max="9" width="7.109375" style="59" customWidth="1"/>
    <col min="10" max="10" width="11.44140625" style="59" bestFit="1" customWidth="1"/>
    <col min="11" max="12" width="7.109375" style="59" customWidth="1"/>
    <col min="13" max="13" width="11.44140625" style="59" bestFit="1" customWidth="1"/>
    <col min="14" max="14" width="7.109375" style="59" customWidth="1"/>
    <col min="15" max="16384" width="9" style="59"/>
  </cols>
  <sheetData>
    <row r="2" spans="2:14" ht="17.399999999999999">
      <c r="B2" s="434"/>
      <c r="C2" s="434"/>
      <c r="D2" s="435" t="s">
        <v>407</v>
      </c>
      <c r="E2" s="436"/>
      <c r="F2" s="436"/>
      <c r="G2" s="435" t="s">
        <v>139</v>
      </c>
      <c r="H2" s="436"/>
      <c r="I2" s="436"/>
      <c r="J2" s="435" t="s">
        <v>17</v>
      </c>
      <c r="K2" s="436"/>
      <c r="L2" s="436"/>
      <c r="M2" s="435" t="s">
        <v>18</v>
      </c>
      <c r="N2" s="490"/>
    </row>
    <row r="3" spans="2:14" ht="18" thickBot="1">
      <c r="B3" s="430"/>
      <c r="C3" s="430"/>
      <c r="D3" s="190" t="s">
        <v>3</v>
      </c>
      <c r="E3" s="190" t="s">
        <v>4</v>
      </c>
      <c r="F3" s="190" t="s">
        <v>408</v>
      </c>
      <c r="G3" s="190" t="s">
        <v>445</v>
      </c>
      <c r="H3" s="431" t="s">
        <v>19</v>
      </c>
      <c r="I3" s="190" t="s">
        <v>20</v>
      </c>
      <c r="J3" s="190" t="s">
        <v>432</v>
      </c>
      <c r="K3" s="431" t="s">
        <v>19</v>
      </c>
      <c r="L3" s="190" t="s">
        <v>20</v>
      </c>
      <c r="M3" s="190" t="s">
        <v>433</v>
      </c>
      <c r="N3" s="431" t="s">
        <v>19</v>
      </c>
    </row>
    <row r="4" spans="2:14" ht="18" thickTop="1">
      <c r="B4" s="175" t="s">
        <v>140</v>
      </c>
      <c r="C4" s="175"/>
      <c r="D4" s="437"/>
      <c r="E4" s="437"/>
      <c r="F4" s="438"/>
      <c r="G4" s="439"/>
      <c r="H4" s="438"/>
      <c r="I4" s="438"/>
      <c r="J4" s="439"/>
      <c r="K4" s="437"/>
      <c r="L4" s="437"/>
      <c r="M4" s="439"/>
      <c r="N4" s="437"/>
    </row>
    <row r="5" spans="2:14" ht="15.6">
      <c r="B5" s="491"/>
      <c r="C5" s="440" t="s">
        <v>5</v>
      </c>
      <c r="D5" s="391">
        <v>26219</v>
      </c>
      <c r="E5" s="503">
        <v>65.8</v>
      </c>
      <c r="F5" s="449">
        <v>1</v>
      </c>
      <c r="G5" s="491"/>
      <c r="H5" s="491"/>
      <c r="I5" s="449">
        <v>1</v>
      </c>
      <c r="J5" s="491"/>
      <c r="K5" s="491"/>
      <c r="L5" s="449">
        <v>1</v>
      </c>
      <c r="M5" s="491"/>
      <c r="N5" s="491"/>
    </row>
    <row r="6" spans="2:14" ht="15.6">
      <c r="B6" s="491"/>
      <c r="C6" s="440" t="s">
        <v>6</v>
      </c>
      <c r="D6" s="391">
        <v>4991</v>
      </c>
      <c r="E6" s="503">
        <v>12.5</v>
      </c>
      <c r="F6" s="449">
        <v>0.95499999999999996</v>
      </c>
      <c r="G6" s="403" t="s">
        <v>434</v>
      </c>
      <c r="H6" s="420">
        <v>0.53100000000000003</v>
      </c>
      <c r="I6" s="449">
        <v>0.99</v>
      </c>
      <c r="J6" s="403" t="s">
        <v>436</v>
      </c>
      <c r="K6" s="449">
        <v>0.88900000000000001</v>
      </c>
      <c r="L6" s="449">
        <v>0.97899999999999998</v>
      </c>
      <c r="M6" s="403" t="s">
        <v>444</v>
      </c>
      <c r="N6" s="337">
        <v>0.77918108929692298</v>
      </c>
    </row>
    <row r="7" spans="2:14" ht="15.6">
      <c r="B7" s="491"/>
      <c r="C7" s="440" t="s">
        <v>7</v>
      </c>
      <c r="D7" s="391">
        <v>8649</v>
      </c>
      <c r="E7" s="503">
        <v>21.7</v>
      </c>
      <c r="F7" s="449">
        <v>0.83</v>
      </c>
      <c r="G7" s="403" t="s">
        <v>435</v>
      </c>
      <c r="H7" s="420">
        <v>6.0000000000000001E-3</v>
      </c>
      <c r="I7" s="449">
        <v>0.86499999999999999</v>
      </c>
      <c r="J7" s="403" t="s">
        <v>437</v>
      </c>
      <c r="K7" s="449">
        <v>3.3000000000000002E-2</v>
      </c>
      <c r="L7" s="449">
        <v>0.871</v>
      </c>
      <c r="M7" s="403" t="s">
        <v>443</v>
      </c>
      <c r="N7" s="337">
        <v>4.2641641263962402E-2</v>
      </c>
    </row>
    <row r="8" spans="2:14" ht="15.6">
      <c r="B8" s="401" t="s">
        <v>409</v>
      </c>
      <c r="C8" s="401"/>
      <c r="D8" s="401"/>
      <c r="E8" s="504"/>
      <c r="F8" s="491"/>
      <c r="G8" s="491"/>
      <c r="H8" s="491"/>
      <c r="I8" s="492"/>
      <c r="J8" s="491"/>
      <c r="K8" s="492"/>
      <c r="L8" s="492"/>
      <c r="M8" s="491"/>
      <c r="N8" s="337"/>
    </row>
    <row r="9" spans="2:14" ht="15.6">
      <c r="B9" s="491"/>
      <c r="C9" s="390">
        <v>0</v>
      </c>
      <c r="D9" s="393">
        <v>15954</v>
      </c>
      <c r="E9" s="505">
        <v>40</v>
      </c>
      <c r="F9" s="491"/>
      <c r="G9" s="491"/>
      <c r="H9" s="491"/>
      <c r="I9" s="450">
        <v>1</v>
      </c>
      <c r="J9" s="491"/>
      <c r="K9" s="492"/>
      <c r="L9" s="492"/>
      <c r="M9" s="491"/>
      <c r="N9" s="337"/>
    </row>
    <row r="10" spans="2:14" ht="15.6">
      <c r="B10" s="491"/>
      <c r="C10" s="390">
        <v>1</v>
      </c>
      <c r="D10" s="393">
        <v>11582</v>
      </c>
      <c r="E10" s="505">
        <v>29.1</v>
      </c>
      <c r="F10" s="491"/>
      <c r="G10" s="491"/>
      <c r="H10" s="491"/>
      <c r="I10" s="450">
        <v>1.155</v>
      </c>
      <c r="J10" s="394" t="s">
        <v>438</v>
      </c>
      <c r="K10" s="450">
        <v>0.03</v>
      </c>
      <c r="L10" s="492"/>
      <c r="M10" s="491"/>
      <c r="N10" s="337"/>
    </row>
    <row r="11" spans="2:14" ht="15.6">
      <c r="B11" s="491"/>
      <c r="C11" s="390">
        <v>2</v>
      </c>
      <c r="D11" s="393">
        <v>6730</v>
      </c>
      <c r="E11" s="505">
        <v>16.899999999999999</v>
      </c>
      <c r="F11" s="491"/>
      <c r="G11" s="491"/>
      <c r="H11" s="491"/>
      <c r="I11" s="450">
        <v>1.647</v>
      </c>
      <c r="J11" s="394" t="s">
        <v>439</v>
      </c>
      <c r="K11" s="450">
        <v>0</v>
      </c>
      <c r="L11" s="492"/>
      <c r="M11" s="491"/>
      <c r="N11" s="337"/>
    </row>
    <row r="12" spans="2:14" ht="15.6">
      <c r="B12" s="491"/>
      <c r="C12" s="390" t="s">
        <v>410</v>
      </c>
      <c r="D12" s="393">
        <v>5593</v>
      </c>
      <c r="E12" s="505">
        <v>14</v>
      </c>
      <c r="F12" s="491"/>
      <c r="G12" s="491"/>
      <c r="H12" s="491"/>
      <c r="I12" s="450">
        <v>3.0939999999999999</v>
      </c>
      <c r="J12" s="394" t="s">
        <v>440</v>
      </c>
      <c r="K12" s="450">
        <v>0</v>
      </c>
      <c r="L12" s="492"/>
      <c r="M12" s="491"/>
      <c r="N12" s="494"/>
    </row>
    <row r="13" spans="2:14" ht="15.6">
      <c r="B13" s="175" t="s">
        <v>411</v>
      </c>
      <c r="C13" s="175"/>
      <c r="D13" s="491"/>
      <c r="E13" s="504"/>
      <c r="F13" s="491"/>
      <c r="G13" s="491"/>
      <c r="H13" s="491"/>
      <c r="I13" s="491"/>
      <c r="J13" s="491"/>
      <c r="K13" s="491"/>
      <c r="L13" s="492"/>
      <c r="M13" s="491"/>
      <c r="N13" s="495"/>
    </row>
    <row r="14" spans="2:14" ht="15.6">
      <c r="B14" s="491"/>
      <c r="C14" s="440" t="s">
        <v>5</v>
      </c>
      <c r="D14" s="391">
        <v>4775</v>
      </c>
      <c r="E14" s="503">
        <v>12</v>
      </c>
      <c r="F14" s="491"/>
      <c r="G14" s="491"/>
      <c r="H14" s="491"/>
      <c r="I14" s="491"/>
      <c r="J14" s="491"/>
      <c r="K14" s="491"/>
      <c r="L14" s="449">
        <v>1</v>
      </c>
      <c r="M14" s="491"/>
      <c r="N14" s="495"/>
    </row>
    <row r="15" spans="2:14" ht="15.6">
      <c r="B15" s="491"/>
      <c r="C15" s="440" t="s">
        <v>9</v>
      </c>
      <c r="D15" s="391">
        <v>19741</v>
      </c>
      <c r="E15" s="503">
        <v>49.5</v>
      </c>
      <c r="F15" s="491"/>
      <c r="G15" s="491"/>
      <c r="H15" s="491"/>
      <c r="I15" s="491"/>
      <c r="J15" s="491"/>
      <c r="K15" s="491"/>
      <c r="L15" s="449">
        <v>0.95799999999999996</v>
      </c>
      <c r="M15" s="403" t="s">
        <v>442</v>
      </c>
      <c r="N15" s="337">
        <v>0.585608391172315</v>
      </c>
    </row>
    <row r="16" spans="2:14" ht="17.399999999999999">
      <c r="B16" s="441"/>
      <c r="C16" s="442" t="s">
        <v>142</v>
      </c>
      <c r="D16" s="443">
        <v>15343</v>
      </c>
      <c r="E16" s="506">
        <v>38.5</v>
      </c>
      <c r="F16" s="445"/>
      <c r="G16" s="446"/>
      <c r="H16" s="445"/>
      <c r="I16" s="445"/>
      <c r="J16" s="446"/>
      <c r="K16" s="447"/>
      <c r="L16" s="493">
        <v>0.82199999999999995</v>
      </c>
      <c r="M16" s="448" t="s">
        <v>441</v>
      </c>
      <c r="N16" s="478">
        <v>1.8847835783387501E-2</v>
      </c>
    </row>
    <row r="17" spans="2:13" s="254" customFormat="1" ht="15">
      <c r="B17" s="432" t="s">
        <v>412</v>
      </c>
      <c r="C17" s="432"/>
      <c r="D17" s="432"/>
      <c r="E17" s="489"/>
      <c r="F17" s="489"/>
      <c r="G17" s="489"/>
      <c r="H17" s="489"/>
      <c r="I17" s="489"/>
      <c r="J17" s="489"/>
      <c r="K17" s="489"/>
      <c r="L17" s="489"/>
      <c r="M17" s="489"/>
    </row>
    <row r="18" spans="2:13" s="254" customFormat="1" ht="15">
      <c r="B18" s="432" t="s">
        <v>413</v>
      </c>
      <c r="C18" s="432"/>
      <c r="D18" s="489"/>
      <c r="E18" s="489"/>
      <c r="F18" s="489"/>
      <c r="G18" s="489"/>
      <c r="H18" s="489"/>
      <c r="I18" s="489"/>
      <c r="J18" s="489"/>
      <c r="K18" s="489"/>
      <c r="L18" s="489"/>
      <c r="M18" s="489"/>
    </row>
    <row r="19" spans="2:13" s="254" customFormat="1" ht="13.8">
      <c r="B19" s="433" t="s">
        <v>414</v>
      </c>
      <c r="C19" s="433"/>
      <c r="D19" s="433"/>
      <c r="E19" s="433"/>
      <c r="F19" s="433"/>
      <c r="G19" s="489"/>
      <c r="H19" s="489"/>
      <c r="I19" s="489"/>
      <c r="J19" s="489"/>
      <c r="K19" s="489"/>
      <c r="L19" s="489"/>
      <c r="M19" s="489"/>
    </row>
    <row r="20" spans="2:13" s="254" customFormat="1" ht="13.8">
      <c r="B20" s="433" t="s">
        <v>415</v>
      </c>
      <c r="C20" s="433"/>
      <c r="D20" s="433"/>
      <c r="E20" s="433"/>
      <c r="F20" s="433"/>
      <c r="G20" s="433"/>
      <c r="H20" s="433"/>
      <c r="I20" s="433"/>
      <c r="J20" s="433"/>
      <c r="K20" s="433"/>
      <c r="L20" s="489"/>
      <c r="M20" s="489"/>
    </row>
    <row r="21" spans="2:13" s="254" customFormat="1" ht="13.8">
      <c r="B21" s="433" t="s">
        <v>416</v>
      </c>
      <c r="C21" s="433"/>
      <c r="D21" s="433"/>
      <c r="E21" s="433"/>
      <c r="F21" s="433"/>
      <c r="G21" s="433"/>
      <c r="H21" s="489"/>
      <c r="I21" s="489"/>
      <c r="J21" s="489"/>
      <c r="K21" s="489"/>
      <c r="L21" s="489"/>
      <c r="M21" s="489"/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41"/>
  <sheetViews>
    <sheetView topLeftCell="A16" workbookViewId="0">
      <selection activeCell="E33" sqref="E33"/>
    </sheetView>
  </sheetViews>
  <sheetFormatPr defaultColWidth="9" defaultRowHeight="15.6"/>
  <cols>
    <col min="1" max="2" width="9" style="451"/>
    <col min="3" max="3" width="11.6640625" style="451" customWidth="1"/>
    <col min="4" max="6" width="9" style="451"/>
    <col min="7" max="7" width="13.21875" style="451" customWidth="1"/>
    <col min="8" max="16384" width="9" style="451"/>
  </cols>
  <sheetData>
    <row r="2" spans="2:8">
      <c r="B2" s="527"/>
      <c r="C2" s="527"/>
      <c r="D2" s="435" t="s">
        <v>407</v>
      </c>
      <c r="E2" s="527"/>
      <c r="F2" s="435"/>
      <c r="G2" s="435" t="s">
        <v>423</v>
      </c>
      <c r="H2" s="435"/>
    </row>
    <row r="3" spans="2:8" ht="18" thickBot="1">
      <c r="B3" s="528"/>
      <c r="C3" s="528"/>
      <c r="D3" s="190" t="s">
        <v>3</v>
      </c>
      <c r="E3" s="190" t="s">
        <v>4</v>
      </c>
      <c r="F3" s="190" t="s">
        <v>408</v>
      </c>
      <c r="G3" s="190" t="s">
        <v>454</v>
      </c>
      <c r="H3" s="431" t="s">
        <v>19</v>
      </c>
    </row>
    <row r="4" spans="2:8" ht="16.2" thickTop="1">
      <c r="B4" s="175" t="s">
        <v>140</v>
      </c>
    </row>
    <row r="5" spans="2:8">
      <c r="C5" s="440" t="s">
        <v>5</v>
      </c>
      <c r="D5" s="420">
        <v>26219</v>
      </c>
      <c r="E5" s="420">
        <v>65.8</v>
      </c>
      <c r="F5" s="449">
        <v>1</v>
      </c>
    </row>
    <row r="6" spans="2:8">
      <c r="C6" s="440" t="s">
        <v>6</v>
      </c>
      <c r="D6" s="420">
        <v>4991</v>
      </c>
      <c r="E6" s="420">
        <v>12.5</v>
      </c>
      <c r="F6" s="449">
        <v>0.98499999999999999</v>
      </c>
      <c r="G6" s="403" t="s">
        <v>455</v>
      </c>
      <c r="H6" s="449">
        <v>0.83499999999999996</v>
      </c>
    </row>
    <row r="7" spans="2:8">
      <c r="C7" s="440" t="s">
        <v>7</v>
      </c>
      <c r="D7" s="420">
        <v>8649</v>
      </c>
      <c r="E7" s="420">
        <v>21.7</v>
      </c>
      <c r="F7" s="449">
        <v>0.872</v>
      </c>
      <c r="G7" s="403" t="s">
        <v>456</v>
      </c>
      <c r="H7" s="449">
        <v>4.3999999999999997E-2</v>
      </c>
    </row>
    <row r="8" spans="2:8">
      <c r="B8" s="451" t="s">
        <v>452</v>
      </c>
      <c r="C8" s="440"/>
      <c r="D8" s="420"/>
      <c r="E8" s="420"/>
      <c r="F8" s="449"/>
      <c r="G8" s="403"/>
      <c r="H8" s="449"/>
    </row>
    <row r="9" spans="2:8">
      <c r="C9" s="440" t="s">
        <v>51</v>
      </c>
      <c r="D9" s="391">
        <v>29831</v>
      </c>
      <c r="E9" s="420">
        <v>74.8</v>
      </c>
      <c r="F9" s="449">
        <v>1</v>
      </c>
      <c r="H9" s="529"/>
    </row>
    <row r="10" spans="2:8">
      <c r="C10" s="440" t="s">
        <v>52</v>
      </c>
      <c r="D10" s="391">
        <v>10028</v>
      </c>
      <c r="E10" s="420">
        <v>25.2</v>
      </c>
      <c r="F10" s="449">
        <v>0.71</v>
      </c>
      <c r="G10" s="403" t="s">
        <v>270</v>
      </c>
      <c r="H10" s="449">
        <v>0</v>
      </c>
    </row>
    <row r="11" spans="2:8">
      <c r="B11" s="175" t="s">
        <v>53</v>
      </c>
      <c r="F11" s="529"/>
      <c r="H11" s="529"/>
    </row>
    <row r="12" spans="2:8">
      <c r="C12" s="440" t="s">
        <v>152</v>
      </c>
      <c r="D12" s="391">
        <v>20509</v>
      </c>
      <c r="E12" s="420">
        <v>51.5</v>
      </c>
      <c r="F12" s="449">
        <v>1</v>
      </c>
      <c r="H12" s="529"/>
    </row>
    <row r="13" spans="2:8">
      <c r="C13" s="440" t="s">
        <v>453</v>
      </c>
      <c r="D13" s="391">
        <v>19350</v>
      </c>
      <c r="E13" s="420">
        <v>48.5</v>
      </c>
      <c r="F13" s="449">
        <v>1.9239999999999999</v>
      </c>
      <c r="G13" s="403" t="s">
        <v>424</v>
      </c>
      <c r="H13" s="449">
        <v>0</v>
      </c>
    </row>
    <row r="14" spans="2:8">
      <c r="B14" s="383" t="s">
        <v>425</v>
      </c>
      <c r="C14" s="383"/>
      <c r="D14" s="499">
        <v>24.92398</v>
      </c>
      <c r="E14" s="499"/>
      <c r="F14" s="534">
        <v>0.97</v>
      </c>
      <c r="G14" s="499" t="s">
        <v>232</v>
      </c>
      <c r="H14" s="534">
        <v>0</v>
      </c>
    </row>
    <row r="15" spans="2:8">
      <c r="B15" s="175" t="s">
        <v>145</v>
      </c>
      <c r="C15" s="175"/>
      <c r="D15" s="403">
        <v>199.99119999999999</v>
      </c>
      <c r="F15" s="449">
        <v>0.997</v>
      </c>
      <c r="G15" s="403" t="s">
        <v>233</v>
      </c>
      <c r="H15" s="449">
        <v>0</v>
      </c>
    </row>
    <row r="16" spans="2:8">
      <c r="B16" s="175" t="s">
        <v>426</v>
      </c>
      <c r="F16" s="529"/>
      <c r="H16" s="529"/>
    </row>
    <row r="17" spans="2:8">
      <c r="C17" s="440" t="s">
        <v>5</v>
      </c>
      <c r="D17" s="391">
        <v>15891</v>
      </c>
      <c r="E17" s="420">
        <v>39.9</v>
      </c>
      <c r="F17" s="449">
        <v>1</v>
      </c>
      <c r="H17" s="529"/>
    </row>
    <row r="18" spans="2:8">
      <c r="C18" s="440" t="s">
        <v>171</v>
      </c>
      <c r="D18" s="391">
        <v>23968</v>
      </c>
      <c r="E18" s="420">
        <v>60.1</v>
      </c>
      <c r="F18" s="449">
        <v>0.90900000000000003</v>
      </c>
      <c r="G18" s="403" t="s">
        <v>271</v>
      </c>
      <c r="H18" s="449">
        <v>4.5999999999999999E-2</v>
      </c>
    </row>
    <row r="19" spans="2:8">
      <c r="B19" s="175" t="s">
        <v>427</v>
      </c>
      <c r="C19" s="175"/>
      <c r="D19" s="531"/>
      <c r="F19" s="529"/>
      <c r="H19" s="529"/>
    </row>
    <row r="20" spans="2:8">
      <c r="C20" s="440" t="s">
        <v>5</v>
      </c>
      <c r="D20" s="391">
        <v>15108</v>
      </c>
      <c r="E20" s="420">
        <v>37.9</v>
      </c>
      <c r="F20" s="449">
        <v>1</v>
      </c>
      <c r="H20" s="529"/>
    </row>
    <row r="21" spans="2:8">
      <c r="C21" s="440" t="s">
        <v>171</v>
      </c>
      <c r="D21" s="391">
        <v>24751</v>
      </c>
      <c r="E21" s="420">
        <v>62.1</v>
      </c>
      <c r="F21" s="449">
        <v>1.0389999999999999</v>
      </c>
      <c r="G21" s="403" t="s">
        <v>272</v>
      </c>
      <c r="H21" s="449">
        <v>0.47499999999999998</v>
      </c>
    </row>
    <row r="22" spans="2:8">
      <c r="B22" s="401" t="s">
        <v>428</v>
      </c>
      <c r="C22" s="401"/>
      <c r="D22" s="524"/>
      <c r="F22" s="529"/>
      <c r="H22" s="529"/>
    </row>
    <row r="23" spans="2:8">
      <c r="C23" s="440">
        <v>0</v>
      </c>
      <c r="D23" s="391">
        <v>15954</v>
      </c>
      <c r="E23" s="420">
        <v>40</v>
      </c>
      <c r="F23" s="449">
        <v>1</v>
      </c>
      <c r="H23" s="529"/>
    </row>
    <row r="24" spans="2:8">
      <c r="C24" s="440">
        <v>1</v>
      </c>
      <c r="D24" s="391">
        <v>11582</v>
      </c>
      <c r="E24" s="420">
        <v>29.1</v>
      </c>
      <c r="F24" s="449">
        <v>1.153</v>
      </c>
      <c r="G24" s="403" t="s">
        <v>273</v>
      </c>
      <c r="H24" s="449">
        <v>3.2000000000000001E-2</v>
      </c>
    </row>
    <row r="25" spans="2:8">
      <c r="C25" s="440">
        <v>2</v>
      </c>
      <c r="D25" s="391">
        <v>6730</v>
      </c>
      <c r="E25" s="420">
        <v>16.899999999999999</v>
      </c>
      <c r="F25" s="449">
        <v>1.6419999999999999</v>
      </c>
      <c r="G25" s="403" t="s">
        <v>274</v>
      </c>
      <c r="H25" s="449">
        <v>0</v>
      </c>
    </row>
    <row r="26" spans="2:8">
      <c r="B26" s="530"/>
      <c r="C26" s="496" t="s">
        <v>457</v>
      </c>
      <c r="D26" s="525">
        <v>5593</v>
      </c>
      <c r="E26" s="497">
        <v>14</v>
      </c>
      <c r="F26" s="501">
        <v>3.0659999999999998</v>
      </c>
      <c r="G26" s="498" t="s">
        <v>275</v>
      </c>
      <c r="H26" s="501">
        <v>0</v>
      </c>
    </row>
    <row r="27" spans="2:8">
      <c r="B27" s="502" t="s">
        <v>397</v>
      </c>
      <c r="C27" s="502"/>
      <c r="D27" s="175"/>
      <c r="E27" s="175"/>
      <c r="F27" s="532"/>
      <c r="G27" s="403"/>
      <c r="H27" s="532"/>
    </row>
    <row r="28" spans="2:8">
      <c r="C28" s="440" t="s">
        <v>5</v>
      </c>
      <c r="D28" s="391">
        <v>11382</v>
      </c>
      <c r="E28" s="420">
        <v>28.6</v>
      </c>
      <c r="F28" s="449">
        <v>1</v>
      </c>
      <c r="H28" s="529"/>
    </row>
    <row r="29" spans="2:8">
      <c r="C29" s="440" t="s">
        <v>9</v>
      </c>
      <c r="D29" s="391">
        <v>23069</v>
      </c>
      <c r="E29" s="420">
        <v>57.9</v>
      </c>
      <c r="F29" s="449">
        <v>0.96599999999999997</v>
      </c>
      <c r="G29" s="403" t="s">
        <v>277</v>
      </c>
      <c r="H29" s="449">
        <v>0.54500000000000004</v>
      </c>
    </row>
    <row r="30" spans="2:8">
      <c r="C30" s="440" t="s">
        <v>142</v>
      </c>
      <c r="D30" s="391">
        <v>5408</v>
      </c>
      <c r="E30" s="420">
        <v>13.6</v>
      </c>
      <c r="F30" s="449">
        <v>0.92100000000000004</v>
      </c>
      <c r="G30" s="403" t="s">
        <v>278</v>
      </c>
      <c r="H30" s="449">
        <v>0.312</v>
      </c>
    </row>
    <row r="31" spans="2:8">
      <c r="B31" s="175" t="s">
        <v>429</v>
      </c>
      <c r="D31" s="531"/>
      <c r="F31" s="529"/>
      <c r="H31" s="529"/>
    </row>
    <row r="32" spans="2:8">
      <c r="C32" s="440" t="s">
        <v>5</v>
      </c>
      <c r="D32" s="391">
        <v>28257</v>
      </c>
      <c r="E32" s="420">
        <v>70.900000000000006</v>
      </c>
      <c r="F32" s="449">
        <v>1</v>
      </c>
      <c r="H32" s="529"/>
    </row>
    <row r="33" spans="2:8">
      <c r="C33" s="440" t="s">
        <v>9</v>
      </c>
      <c r="D33" s="391">
        <v>4302</v>
      </c>
      <c r="E33" s="420">
        <v>10.8</v>
      </c>
      <c r="F33" s="449">
        <v>0.95699999999999996</v>
      </c>
      <c r="G33" s="403" t="s">
        <v>279</v>
      </c>
      <c r="H33" s="449">
        <v>0.55400000000000005</v>
      </c>
    </row>
    <row r="34" spans="2:8">
      <c r="C34" s="440" t="s">
        <v>142</v>
      </c>
      <c r="D34" s="391">
        <v>7300</v>
      </c>
      <c r="E34" s="420">
        <v>18.3</v>
      </c>
      <c r="F34" s="449">
        <v>0.88600000000000001</v>
      </c>
      <c r="G34" s="403" t="s">
        <v>280</v>
      </c>
      <c r="H34" s="449">
        <v>0.06</v>
      </c>
    </row>
    <row r="35" spans="2:8">
      <c r="B35" s="175" t="s">
        <v>451</v>
      </c>
      <c r="C35" s="175"/>
      <c r="D35" s="526"/>
      <c r="E35" s="175"/>
      <c r="F35" s="529"/>
      <c r="H35" s="529"/>
    </row>
    <row r="36" spans="2:8">
      <c r="C36" s="440" t="s">
        <v>5</v>
      </c>
      <c r="D36" s="391">
        <v>13846</v>
      </c>
      <c r="E36" s="420">
        <v>34.700000000000003</v>
      </c>
      <c r="F36" s="449">
        <v>1</v>
      </c>
      <c r="H36" s="529"/>
    </row>
    <row r="37" spans="2:8">
      <c r="C37" s="440" t="s">
        <v>9</v>
      </c>
      <c r="D37" s="391">
        <v>23061</v>
      </c>
      <c r="E37" s="420">
        <v>57.9</v>
      </c>
      <c r="F37" s="449">
        <v>0.95399999999999996</v>
      </c>
      <c r="G37" s="403" t="s">
        <v>281</v>
      </c>
      <c r="H37" s="449">
        <v>0.38900000000000001</v>
      </c>
    </row>
    <row r="38" spans="2:8">
      <c r="B38" s="533"/>
      <c r="C38" s="442" t="s">
        <v>142</v>
      </c>
      <c r="D38" s="443">
        <v>2952</v>
      </c>
      <c r="E38" s="444">
        <v>7.4</v>
      </c>
      <c r="F38" s="493">
        <v>0.97599999999999998</v>
      </c>
      <c r="G38" s="448" t="s">
        <v>282</v>
      </c>
      <c r="H38" s="493">
        <v>0.79600000000000004</v>
      </c>
    </row>
    <row r="39" spans="2:8">
      <c r="B39" s="386" t="s">
        <v>430</v>
      </c>
      <c r="C39" s="386"/>
      <c r="D39" s="386"/>
    </row>
    <row r="40" spans="2:8">
      <c r="B40" s="432" t="s">
        <v>413</v>
      </c>
      <c r="C40" s="432"/>
    </row>
    <row r="41" spans="2:8">
      <c r="B41" s="500" t="s">
        <v>431</v>
      </c>
      <c r="C41" s="500"/>
      <c r="D41" s="500"/>
      <c r="E41" s="500"/>
      <c r="F41" s="500"/>
      <c r="G41" s="500"/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64"/>
  <sheetViews>
    <sheetView topLeftCell="A44" zoomScale="85" zoomScaleNormal="85" workbookViewId="0">
      <selection activeCell="M23" sqref="M23"/>
    </sheetView>
  </sheetViews>
  <sheetFormatPr defaultColWidth="9" defaultRowHeight="16.95" customHeight="1"/>
  <cols>
    <col min="1" max="1" width="5.6640625" style="17" customWidth="1"/>
    <col min="2" max="2" width="20" style="17" customWidth="1"/>
    <col min="3" max="5" width="8.6640625" style="17" customWidth="1"/>
    <col min="6" max="6" width="10.109375" style="151" customWidth="1"/>
    <col min="7" max="8" width="8.6640625" style="17" customWidth="1"/>
    <col min="9" max="9" width="11.109375" style="17" customWidth="1"/>
    <col min="10" max="10" width="22.6640625" style="17" customWidth="1"/>
    <col min="11" max="11" width="11" style="151" customWidth="1"/>
    <col min="12" max="12" width="9.6640625" style="17" customWidth="1"/>
    <col min="13" max="13" width="8.21875" style="17" customWidth="1"/>
    <col min="14" max="14" width="8.77734375" style="151" customWidth="1"/>
    <col min="15" max="15" width="11" style="17" customWidth="1"/>
    <col min="16" max="16" width="12.33203125" style="17" bestFit="1" customWidth="1"/>
    <col min="17" max="17" width="9.33203125" style="17" customWidth="1"/>
    <col min="18" max="16384" width="9" style="17"/>
  </cols>
  <sheetData>
    <row r="1" spans="1:17" ht="16.95" customHeight="1">
      <c r="A1" s="179"/>
      <c r="B1" s="180"/>
      <c r="C1" s="555" t="s">
        <v>16</v>
      </c>
      <c r="D1" s="556"/>
      <c r="E1" s="556"/>
      <c r="F1" s="556"/>
      <c r="G1" s="557"/>
      <c r="H1" s="555" t="s">
        <v>33</v>
      </c>
      <c r="I1" s="556"/>
      <c r="J1" s="556"/>
      <c r="K1" s="556"/>
      <c r="L1" s="557"/>
      <c r="M1" s="555" t="s">
        <v>34</v>
      </c>
      <c r="N1" s="556"/>
      <c r="O1" s="556"/>
      <c r="P1" s="556"/>
      <c r="Q1" s="557"/>
    </row>
    <row r="2" spans="1:17" ht="16.95" customHeight="1">
      <c r="A2" s="81" t="s">
        <v>15</v>
      </c>
      <c r="B2" s="118"/>
      <c r="C2" s="153" t="s">
        <v>2</v>
      </c>
      <c r="D2" s="151"/>
      <c r="E2" s="151" t="s">
        <v>84</v>
      </c>
      <c r="G2" s="152"/>
      <c r="H2" s="153" t="s">
        <v>2</v>
      </c>
      <c r="I2" s="151"/>
      <c r="J2" s="151" t="s">
        <v>85</v>
      </c>
      <c r="L2" s="152"/>
      <c r="M2" s="153" t="s">
        <v>2</v>
      </c>
      <c r="O2" s="151" t="s">
        <v>86</v>
      </c>
      <c r="P2" s="151"/>
      <c r="Q2" s="152"/>
    </row>
    <row r="3" spans="1:17" ht="16.95" customHeight="1" thickBot="1">
      <c r="A3" s="18"/>
      <c r="B3" s="119"/>
      <c r="C3" s="120" t="s">
        <v>3</v>
      </c>
      <c r="D3" s="18" t="s">
        <v>4</v>
      </c>
      <c r="E3" s="18" t="s">
        <v>20</v>
      </c>
      <c r="F3" s="18" t="s">
        <v>87</v>
      </c>
      <c r="G3" s="121" t="s">
        <v>19</v>
      </c>
      <c r="H3" s="120" t="s">
        <v>3</v>
      </c>
      <c r="I3" s="18" t="s">
        <v>4</v>
      </c>
      <c r="J3" s="18" t="s">
        <v>20</v>
      </c>
      <c r="K3" s="18" t="s">
        <v>87</v>
      </c>
      <c r="L3" s="121" t="s">
        <v>19</v>
      </c>
      <c r="M3" s="120" t="s">
        <v>3</v>
      </c>
      <c r="N3" s="18" t="s">
        <v>4</v>
      </c>
      <c r="O3" s="18" t="s">
        <v>20</v>
      </c>
      <c r="P3" s="18" t="s">
        <v>87</v>
      </c>
      <c r="Q3" s="121" t="s">
        <v>19</v>
      </c>
    </row>
    <row r="4" spans="1:17" s="21" customFormat="1" ht="16.95" customHeight="1" thickTop="1">
      <c r="A4" s="113" t="s">
        <v>154</v>
      </c>
      <c r="B4" s="122"/>
      <c r="C4" s="123"/>
      <c r="D4" s="31"/>
      <c r="E4" s="31"/>
      <c r="F4" s="31"/>
      <c r="G4" s="124"/>
      <c r="H4" s="123"/>
      <c r="I4" s="31"/>
      <c r="J4" s="31"/>
      <c r="K4" s="23"/>
      <c r="L4" s="125"/>
      <c r="M4" s="123"/>
      <c r="N4" s="31"/>
      <c r="O4" s="31"/>
      <c r="P4" s="31"/>
      <c r="Q4" s="125"/>
    </row>
    <row r="5" spans="1:17" s="21" customFormat="1" ht="16.95" customHeight="1">
      <c r="A5" s="20"/>
      <c r="B5" s="126" t="s">
        <v>23</v>
      </c>
      <c r="C5" s="123">
        <v>2919</v>
      </c>
      <c r="D5" s="127">
        <v>11.1</v>
      </c>
      <c r="E5" s="181">
        <v>1</v>
      </c>
      <c r="F5" s="1"/>
      <c r="G5" s="181"/>
      <c r="H5" s="123">
        <v>780</v>
      </c>
      <c r="I5" s="127">
        <v>15.6</v>
      </c>
      <c r="J5" s="181">
        <v>1</v>
      </c>
      <c r="K5" s="1"/>
      <c r="L5" s="181"/>
      <c r="M5" s="128">
        <v>1076</v>
      </c>
      <c r="N5" s="127">
        <v>12.4</v>
      </c>
      <c r="O5" s="181">
        <v>1</v>
      </c>
      <c r="P5" s="1"/>
      <c r="Q5" s="182"/>
    </row>
    <row r="6" spans="1:17" s="21" customFormat="1" ht="16.95" customHeight="1">
      <c r="A6" s="20"/>
      <c r="B6" s="126" t="s">
        <v>27</v>
      </c>
      <c r="C6" s="123">
        <v>13025</v>
      </c>
      <c r="D6" s="127">
        <v>49.7</v>
      </c>
      <c r="E6" s="181">
        <v>0.85203879664612303</v>
      </c>
      <c r="F6" s="1" t="s">
        <v>371</v>
      </c>
      <c r="G6" s="181">
        <v>7.4357959015654104E-2</v>
      </c>
      <c r="H6" s="123">
        <v>2697</v>
      </c>
      <c r="I6" s="127">
        <v>54</v>
      </c>
      <c r="J6" s="181">
        <v>1.84710756684396</v>
      </c>
      <c r="K6" s="1" t="s">
        <v>360</v>
      </c>
      <c r="L6" s="181">
        <v>1.8668710221163901E-2</v>
      </c>
      <c r="M6" s="128">
        <v>4019</v>
      </c>
      <c r="N6" s="127">
        <v>46.5</v>
      </c>
      <c r="O6" s="181">
        <v>1.02682838273918</v>
      </c>
      <c r="P6" s="1" t="s">
        <v>349</v>
      </c>
      <c r="Q6" s="182">
        <v>0.90358223824634898</v>
      </c>
    </row>
    <row r="7" spans="1:17" s="21" customFormat="1" ht="16.95" customHeight="1">
      <c r="A7" s="129"/>
      <c r="B7" s="130" t="s">
        <v>10</v>
      </c>
      <c r="C7" s="136">
        <v>10275</v>
      </c>
      <c r="D7" s="131">
        <v>39.200000000000003</v>
      </c>
      <c r="E7" s="183">
        <v>0.72407996511460004</v>
      </c>
      <c r="F7" s="184" t="s">
        <v>372</v>
      </c>
      <c r="G7" s="183">
        <v>6.8895591128835098E-4</v>
      </c>
      <c r="H7" s="137">
        <v>1514</v>
      </c>
      <c r="I7" s="131">
        <v>30.3</v>
      </c>
      <c r="J7" s="183">
        <v>1.5916769670431501</v>
      </c>
      <c r="K7" s="184" t="s">
        <v>361</v>
      </c>
      <c r="L7" s="183">
        <v>9.6743475750105806E-2</v>
      </c>
      <c r="M7" s="138">
        <v>3554</v>
      </c>
      <c r="N7" s="131">
        <v>41.1</v>
      </c>
      <c r="O7" s="183">
        <v>0.94352129420548403</v>
      </c>
      <c r="P7" s="184" t="s">
        <v>350</v>
      </c>
      <c r="Q7" s="185">
        <v>0.79573038569725396</v>
      </c>
    </row>
    <row r="8" spans="1:17" s="21" customFormat="1" ht="16.95" customHeight="1">
      <c r="A8" s="38" t="s">
        <v>88</v>
      </c>
      <c r="B8" s="132"/>
      <c r="C8" s="132"/>
      <c r="D8" s="132"/>
      <c r="E8" s="132"/>
      <c r="F8" s="133"/>
      <c r="G8" s="132"/>
      <c r="H8" s="132"/>
      <c r="I8" s="132"/>
      <c r="J8" s="132"/>
      <c r="K8" s="133"/>
      <c r="L8" s="132"/>
      <c r="M8" s="34"/>
      <c r="N8" s="34"/>
      <c r="O8" s="34"/>
      <c r="P8" s="34"/>
      <c r="Q8" s="34"/>
    </row>
    <row r="9" spans="1:17" s="21" customFormat="1" ht="16.95" customHeight="1">
      <c r="A9" s="38" t="s">
        <v>89</v>
      </c>
      <c r="B9" s="38"/>
      <c r="C9" s="38"/>
      <c r="D9" s="38"/>
      <c r="E9" s="38"/>
      <c r="F9" s="39"/>
      <c r="G9" s="38"/>
      <c r="H9" s="38"/>
      <c r="I9" s="38"/>
      <c r="J9" s="38"/>
      <c r="K9" s="39"/>
      <c r="L9" s="38"/>
      <c r="M9" s="34"/>
      <c r="N9" s="34"/>
      <c r="O9" s="34"/>
      <c r="P9" s="34"/>
      <c r="Q9" s="34"/>
    </row>
    <row r="10" spans="1:17" s="21" customFormat="1" ht="16.95" customHeight="1">
      <c r="A10" s="38" t="s">
        <v>90</v>
      </c>
      <c r="B10" s="38"/>
      <c r="C10" s="38"/>
      <c r="D10" s="38"/>
      <c r="E10" s="38"/>
      <c r="F10" s="39"/>
      <c r="G10" s="38"/>
      <c r="H10" s="38"/>
      <c r="I10" s="38"/>
      <c r="J10" s="38"/>
    </row>
    <row r="11" spans="1:17" s="21" customFormat="1" ht="16.95" customHeight="1">
      <c r="A11" s="17"/>
      <c r="B11" s="26"/>
      <c r="C11" s="26"/>
      <c r="D11" s="26"/>
      <c r="E11" s="26"/>
      <c r="F11" s="33"/>
      <c r="G11" s="26"/>
      <c r="H11" s="26"/>
      <c r="I11" s="26"/>
      <c r="J11" s="26"/>
    </row>
    <row r="12" spans="1:17" s="21" customFormat="1" ht="16.95" customHeight="1">
      <c r="A12" s="17"/>
      <c r="B12" s="186" t="s">
        <v>155</v>
      </c>
      <c r="C12" s="17"/>
      <c r="D12" s="17"/>
      <c r="E12" s="17"/>
      <c r="F12" s="17"/>
      <c r="G12" s="17"/>
      <c r="H12" s="17"/>
      <c r="I12" s="17"/>
      <c r="J12"/>
    </row>
    <row r="13" spans="1:17" s="21" customFormat="1" ht="16.95" customHeight="1">
      <c r="A13" s="17"/>
      <c r="B13" s="17"/>
      <c r="C13" s="17"/>
      <c r="D13" s="17"/>
      <c r="E13" s="17"/>
      <c r="F13" s="151"/>
      <c r="G13" s="17"/>
      <c r="H13" s="17"/>
      <c r="I13" s="17"/>
      <c r="J13" s="17"/>
    </row>
    <row r="14" spans="1:17" s="21" customFormat="1" ht="16.95" customHeight="1">
      <c r="A14" s="17"/>
      <c r="B14" s="370"/>
      <c r="C14" s="558" t="s">
        <v>158</v>
      </c>
      <c r="D14" s="558"/>
      <c r="E14" s="558"/>
      <c r="F14" s="558"/>
      <c r="G14" s="558"/>
      <c r="H14" s="558"/>
      <c r="I14" s="17"/>
      <c r="J14" s="370"/>
      <c r="K14" s="558" t="s">
        <v>158</v>
      </c>
      <c r="L14" s="558"/>
      <c r="M14" s="558"/>
      <c r="N14" s="558"/>
      <c r="O14" s="558"/>
      <c r="P14" s="558"/>
    </row>
    <row r="15" spans="1:17" s="21" customFormat="1" ht="16.95" customHeight="1">
      <c r="A15" s="17"/>
      <c r="B15" s="371"/>
      <c r="C15" s="559" t="s">
        <v>23</v>
      </c>
      <c r="D15" s="559"/>
      <c r="E15" s="559" t="s">
        <v>24</v>
      </c>
      <c r="F15" s="559"/>
      <c r="G15" s="559" t="s">
        <v>25</v>
      </c>
      <c r="H15" s="559"/>
      <c r="I15" s="17"/>
      <c r="J15" s="371"/>
      <c r="K15" s="559" t="s">
        <v>23</v>
      </c>
      <c r="L15" s="559"/>
      <c r="M15" s="559" t="s">
        <v>24</v>
      </c>
      <c r="N15" s="559"/>
      <c r="O15" s="559" t="s">
        <v>25</v>
      </c>
      <c r="P15" s="559"/>
    </row>
    <row r="16" spans="1:17" s="21" customFormat="1" ht="16.95" customHeight="1" thickBot="1">
      <c r="A16" s="17"/>
      <c r="B16" s="372"/>
      <c r="C16" s="190" t="s">
        <v>82</v>
      </c>
      <c r="D16" s="190" t="s">
        <v>83</v>
      </c>
      <c r="E16" s="190" t="s">
        <v>82</v>
      </c>
      <c r="F16" s="190" t="s">
        <v>83</v>
      </c>
      <c r="G16" s="190" t="s">
        <v>82</v>
      </c>
      <c r="H16" s="190" t="s">
        <v>83</v>
      </c>
      <c r="I16" s="17"/>
      <c r="J16" s="376"/>
      <c r="K16" s="190" t="s">
        <v>96</v>
      </c>
      <c r="L16" s="190" t="s">
        <v>97</v>
      </c>
      <c r="M16" s="190" t="s">
        <v>96</v>
      </c>
      <c r="N16" s="190" t="s">
        <v>97</v>
      </c>
      <c r="O16" s="190" t="s">
        <v>96</v>
      </c>
      <c r="P16" s="190" t="s">
        <v>97</v>
      </c>
    </row>
    <row r="17" spans="1:19" s="21" customFormat="1" ht="16.95" customHeight="1" thickTop="1">
      <c r="A17" s="17"/>
      <c r="B17" s="373" t="s">
        <v>159</v>
      </c>
      <c r="C17" s="191"/>
      <c r="D17" s="191"/>
      <c r="E17" s="191"/>
      <c r="F17" s="191"/>
      <c r="G17" s="191"/>
      <c r="H17" s="191"/>
      <c r="I17" s="17"/>
      <c r="J17" s="377" t="s">
        <v>154</v>
      </c>
      <c r="K17" s="366"/>
      <c r="L17" s="366"/>
      <c r="M17" s="366"/>
      <c r="N17" s="366"/>
      <c r="O17" s="366"/>
      <c r="P17" s="366"/>
    </row>
    <row r="18" spans="1:19" s="21" customFormat="1" ht="16.95" customHeight="1">
      <c r="A18" s="17"/>
      <c r="B18" s="374" t="s">
        <v>23</v>
      </c>
      <c r="C18" s="192">
        <v>2919</v>
      </c>
      <c r="D18" s="193">
        <v>11.1</v>
      </c>
      <c r="E18" s="192">
        <v>780</v>
      </c>
      <c r="F18" s="193">
        <v>15.6</v>
      </c>
      <c r="G18" s="176">
        <v>1076</v>
      </c>
      <c r="H18" s="193">
        <v>12.4</v>
      </c>
      <c r="I18" s="17"/>
      <c r="J18" s="374" t="s">
        <v>23</v>
      </c>
      <c r="K18" s="381">
        <v>3140.9650000000001</v>
      </c>
      <c r="L18" s="381">
        <v>-7.2163512000000001</v>
      </c>
      <c r="M18" s="381">
        <v>597.90830000000005</v>
      </c>
      <c r="N18" s="359">
        <v>8.4865528999999995</v>
      </c>
      <c r="O18" s="382">
        <v>1036.127</v>
      </c>
      <c r="P18" s="359">
        <v>1.4921087</v>
      </c>
    </row>
    <row r="19" spans="1:19" s="34" customFormat="1" ht="17.399999999999999" customHeight="1">
      <c r="A19" s="17"/>
      <c r="B19" s="374" t="s">
        <v>27</v>
      </c>
      <c r="C19" s="192">
        <v>13025</v>
      </c>
      <c r="D19" s="193">
        <v>49.7</v>
      </c>
      <c r="E19" s="192">
        <v>2697</v>
      </c>
      <c r="F19" s="193">
        <v>54</v>
      </c>
      <c r="G19" s="176">
        <v>4019</v>
      </c>
      <c r="H19" s="193">
        <v>46.5</v>
      </c>
      <c r="I19" s="17"/>
      <c r="J19" s="374" t="s">
        <v>27</v>
      </c>
      <c r="K19" s="381">
        <v>12985.505999999999</v>
      </c>
      <c r="L19" s="381">
        <v>0.83393039999999996</v>
      </c>
      <c r="M19" s="381">
        <v>2471.8966999999998</v>
      </c>
      <c r="N19" s="359">
        <v>6.8137651000000004</v>
      </c>
      <c r="O19" s="382">
        <v>4283.5969999999998</v>
      </c>
      <c r="P19" s="359">
        <v>-6.4308499000000001</v>
      </c>
    </row>
    <row r="20" spans="1:19" s="34" customFormat="1" ht="19.95" customHeight="1">
      <c r="A20" s="17"/>
      <c r="B20" s="374" t="s">
        <v>10</v>
      </c>
      <c r="C20" s="194">
        <v>10275</v>
      </c>
      <c r="D20" s="193">
        <v>39.200000000000003</v>
      </c>
      <c r="E20" s="192">
        <v>1514</v>
      </c>
      <c r="F20" s="193">
        <v>30.3</v>
      </c>
      <c r="G20" s="177">
        <v>3554</v>
      </c>
      <c r="H20" s="193">
        <v>41.1</v>
      </c>
      <c r="I20" s="17"/>
      <c r="J20" s="374" t="s">
        <v>10</v>
      </c>
      <c r="K20" s="381">
        <v>10092.529</v>
      </c>
      <c r="L20" s="381">
        <v>3.9590231</v>
      </c>
      <c r="M20" s="381">
        <v>1921.1949999999999</v>
      </c>
      <c r="N20" s="359">
        <v>-12.664989200000001</v>
      </c>
      <c r="O20" s="382">
        <v>3329.2759999999998</v>
      </c>
      <c r="P20" s="359">
        <v>5.6121531999999998</v>
      </c>
    </row>
    <row r="21" spans="1:19" s="34" customFormat="1" ht="19.95" customHeight="1">
      <c r="A21" s="17"/>
      <c r="B21" s="373" t="s">
        <v>160</v>
      </c>
      <c r="C21" s="194"/>
      <c r="D21" s="193"/>
      <c r="E21" s="192"/>
      <c r="F21" s="193"/>
      <c r="G21" s="177"/>
      <c r="H21" s="193"/>
      <c r="I21" s="17"/>
      <c r="J21" s="378"/>
      <c r="K21" s="367"/>
      <c r="L21" s="367"/>
      <c r="M21" s="380"/>
      <c r="N21" s="367"/>
      <c r="O21" s="368" t="s">
        <v>374</v>
      </c>
      <c r="P21" s="369">
        <v>0</v>
      </c>
    </row>
    <row r="22" spans="1:19" s="34" customFormat="1" ht="19.95" customHeight="1">
      <c r="A22" s="17"/>
      <c r="B22" s="374">
        <v>0</v>
      </c>
      <c r="C22" s="194">
        <v>9895</v>
      </c>
      <c r="D22" s="193">
        <v>37.700000000000003</v>
      </c>
      <c r="E22" s="192">
        <v>2234</v>
      </c>
      <c r="F22" s="193">
        <v>44.8</v>
      </c>
      <c r="G22" s="177">
        <v>3825</v>
      </c>
      <c r="H22" s="193">
        <v>44.2</v>
      </c>
      <c r="I22" s="17"/>
      <c r="J22" s="373" t="s">
        <v>150</v>
      </c>
      <c r="K22" s="358"/>
      <c r="L22" s="359"/>
      <c r="M22" s="358"/>
      <c r="N22" s="359"/>
    </row>
    <row r="23" spans="1:19" s="34" customFormat="1" ht="19.95" customHeight="1">
      <c r="A23" s="17"/>
      <c r="B23" s="374">
        <v>1</v>
      </c>
      <c r="C23" s="194">
        <v>7647</v>
      </c>
      <c r="D23" s="193">
        <v>29.2</v>
      </c>
      <c r="E23" s="192">
        <v>1417</v>
      </c>
      <c r="F23" s="193">
        <v>28.4</v>
      </c>
      <c r="G23" s="177">
        <v>2518</v>
      </c>
      <c r="H23" s="193">
        <v>29.1</v>
      </c>
      <c r="I23" s="17"/>
      <c r="J23" s="374">
        <v>0</v>
      </c>
      <c r="K23" s="117">
        <v>10494.441000000001</v>
      </c>
      <c r="L23" s="117">
        <v>-12.9164054</v>
      </c>
      <c r="M23" s="117">
        <v>1997.7022999999999</v>
      </c>
      <c r="N23" s="117">
        <v>7.2989891</v>
      </c>
      <c r="O23" s="117">
        <v>3461.857</v>
      </c>
      <c r="P23" s="117">
        <v>9.0065536000000002</v>
      </c>
    </row>
    <row r="24" spans="1:19" s="34" customFormat="1" ht="19.95" customHeight="1">
      <c r="A24" s="17"/>
      <c r="B24" s="374">
        <v>2</v>
      </c>
      <c r="C24" s="194">
        <v>4734</v>
      </c>
      <c r="D24" s="193">
        <v>18.100000000000001</v>
      </c>
      <c r="E24" s="192">
        <v>694</v>
      </c>
      <c r="F24" s="193">
        <v>13.9</v>
      </c>
      <c r="G24" s="177">
        <v>1302</v>
      </c>
      <c r="H24" s="193">
        <v>15.1</v>
      </c>
      <c r="I24" s="17"/>
      <c r="J24" s="374">
        <v>1</v>
      </c>
      <c r="K24" s="381">
        <v>7618.567</v>
      </c>
      <c r="L24" s="359">
        <v>0.66113500000000003</v>
      </c>
      <c r="M24" s="381">
        <v>1450.2562</v>
      </c>
      <c r="N24" s="359">
        <v>-1.1085275999999999</v>
      </c>
      <c r="O24" s="382">
        <v>2513.1770000000001</v>
      </c>
      <c r="P24" s="359">
        <v>0.12908559999999999</v>
      </c>
      <c r="S24" s="34" t="s">
        <v>24</v>
      </c>
    </row>
    <row r="25" spans="1:19" s="34" customFormat="1" ht="19.95" customHeight="1">
      <c r="A25" s="17"/>
      <c r="B25" s="374" t="s">
        <v>161</v>
      </c>
      <c r="C25" s="194">
        <v>3943</v>
      </c>
      <c r="D25" s="193">
        <v>15</v>
      </c>
      <c r="E25" s="192">
        <v>646</v>
      </c>
      <c r="F25" s="193">
        <v>12.9</v>
      </c>
      <c r="G25" s="177">
        <v>1004</v>
      </c>
      <c r="H25" s="193">
        <v>11.6</v>
      </c>
      <c r="I25" s="17"/>
      <c r="J25" s="374">
        <v>2</v>
      </c>
      <c r="K25" s="381">
        <v>4426.9520000000002</v>
      </c>
      <c r="L25" s="359">
        <v>8.6530512000000002</v>
      </c>
      <c r="M25" s="381">
        <v>842.70630000000006</v>
      </c>
      <c r="N25" s="359">
        <v>-6.0075852000000003</v>
      </c>
      <c r="O25" s="382">
        <v>1460.3420000000001</v>
      </c>
      <c r="P25" s="359">
        <v>-5.1362253999999998</v>
      </c>
      <c r="S25" s="34" t="s">
        <v>7</v>
      </c>
    </row>
    <row r="26" spans="1:19" s="34" customFormat="1" ht="19.95" customHeight="1">
      <c r="A26" s="17"/>
      <c r="B26" s="373" t="s">
        <v>70</v>
      </c>
      <c r="C26" s="194"/>
      <c r="D26" s="193"/>
      <c r="E26" s="192"/>
      <c r="F26" s="193"/>
      <c r="G26" s="177"/>
      <c r="H26" s="193"/>
      <c r="I26" s="17"/>
      <c r="J26" s="374" t="s">
        <v>151</v>
      </c>
      <c r="K26" s="381">
        <v>3679.04</v>
      </c>
      <c r="L26" s="359">
        <v>8.0233895000000004</v>
      </c>
      <c r="M26" s="381">
        <v>700.33529999999996</v>
      </c>
      <c r="N26" s="359">
        <v>-2.3676086000000001</v>
      </c>
      <c r="O26" s="382">
        <v>1213.624</v>
      </c>
      <c r="P26" s="359">
        <v>-7.3341129</v>
      </c>
    </row>
    <row r="27" spans="1:19" s="34" customFormat="1" ht="19.95" customHeight="1">
      <c r="A27" s="17"/>
      <c r="B27" s="374" t="s">
        <v>156</v>
      </c>
      <c r="C27" s="194">
        <v>1076</v>
      </c>
      <c r="D27" s="193">
        <f>ROUND(C27/SUM(C$27:C$28)*100,1)</f>
        <v>4.0999999999999996</v>
      </c>
      <c r="E27" s="192">
        <v>208</v>
      </c>
      <c r="F27" s="193">
        <f>ROUND(E27/SUM(E$27:E$28)*100,1)</f>
        <v>4.2</v>
      </c>
      <c r="G27" s="177">
        <v>249</v>
      </c>
      <c r="H27" s="193">
        <f>ROUND(G27/SUM(G$27:G$28)*100,1)</f>
        <v>2.9</v>
      </c>
      <c r="I27" s="17"/>
      <c r="J27" s="378"/>
      <c r="K27" s="367"/>
      <c r="L27" s="367"/>
      <c r="M27" s="367"/>
      <c r="N27" s="367"/>
      <c r="O27" s="368" t="s">
        <v>374</v>
      </c>
      <c r="P27" s="369">
        <v>0</v>
      </c>
    </row>
    <row r="28" spans="1:19" s="34" customFormat="1" ht="19.95" customHeight="1">
      <c r="A28" s="17"/>
      <c r="B28" s="375" t="s">
        <v>157</v>
      </c>
      <c r="C28" s="195">
        <v>25143</v>
      </c>
      <c r="D28" s="196">
        <f>ROUND(C28/SUM(C$27:C$28)*100,1)</f>
        <v>95.9</v>
      </c>
      <c r="E28" s="197">
        <v>4783</v>
      </c>
      <c r="F28" s="196">
        <f>ROUND(E28/SUM(E$27:E$28)*100,1)</f>
        <v>95.8</v>
      </c>
      <c r="G28" s="178">
        <v>8400</v>
      </c>
      <c r="H28" s="196">
        <f>ROUND(G28/SUM(G$27:G$28)*100,1)</f>
        <v>97.1</v>
      </c>
      <c r="I28" s="17"/>
      <c r="J28" s="373" t="s">
        <v>70</v>
      </c>
      <c r="K28" s="151"/>
      <c r="L28" s="151"/>
      <c r="M28" s="151"/>
      <c r="N28" s="151"/>
      <c r="O28" s="360"/>
      <c r="P28" s="361"/>
    </row>
    <row r="29" spans="1:19" s="34" customFormat="1" ht="18" customHeight="1">
      <c r="A29" s="17"/>
      <c r="B29" s="17"/>
      <c r="C29" s="21"/>
      <c r="D29" s="21"/>
      <c r="E29" s="21"/>
      <c r="F29" s="31"/>
      <c r="G29" s="21"/>
      <c r="H29" s="21"/>
      <c r="I29" s="17"/>
      <c r="J29" s="374" t="s">
        <v>71</v>
      </c>
      <c r="K29" s="381">
        <v>1008.398</v>
      </c>
      <c r="L29" s="359">
        <v>3.7112270000000001</v>
      </c>
      <c r="M29" s="381">
        <v>191.95670000000001</v>
      </c>
      <c r="N29" s="359">
        <v>1.2625759999999999</v>
      </c>
      <c r="O29" s="382">
        <v>332.64550000000003</v>
      </c>
      <c r="P29" s="359">
        <v>-5.2854809999999999</v>
      </c>
    </row>
    <row r="30" spans="1:19" ht="16.95" customHeight="1">
      <c r="E30" s="21"/>
      <c r="H30" s="151"/>
      <c r="J30" s="374" t="s">
        <v>72</v>
      </c>
      <c r="K30" s="381">
        <v>25210.601999999999</v>
      </c>
      <c r="L30" s="359">
        <v>-3.7112270000000001</v>
      </c>
      <c r="M30" s="381">
        <v>4799.0433000000003</v>
      </c>
      <c r="N30" s="359">
        <v>-1.2625759999999999</v>
      </c>
      <c r="O30" s="382">
        <v>8316.3544999999995</v>
      </c>
      <c r="P30" s="359">
        <v>5.2854809999999999</v>
      </c>
    </row>
    <row r="31" spans="1:19" ht="16.95" customHeight="1">
      <c r="E31" s="151"/>
      <c r="H31" s="151"/>
      <c r="J31" s="379"/>
      <c r="K31" s="362"/>
      <c r="L31" s="363"/>
      <c r="M31" s="362"/>
      <c r="N31" s="363"/>
      <c r="O31" s="364" t="s">
        <v>374</v>
      </c>
      <c r="P31" s="365">
        <v>0</v>
      </c>
    </row>
    <row r="32" spans="1:19" ht="16.95" customHeight="1">
      <c r="B32" s="373" t="s">
        <v>154</v>
      </c>
      <c r="E32" s="151"/>
      <c r="H32" s="151"/>
      <c r="K32" s="17"/>
      <c r="N32" s="17"/>
    </row>
    <row r="33" spans="2:14" ht="16.95" customHeight="1">
      <c r="H33" s="151"/>
      <c r="K33" s="81"/>
      <c r="N33" s="17"/>
    </row>
    <row r="34" spans="2:14" ht="16.95" customHeight="1">
      <c r="E34" s="151"/>
      <c r="H34" s="151"/>
      <c r="K34" s="81"/>
      <c r="N34" s="17"/>
    </row>
    <row r="35" spans="2:14" ht="16.95" customHeight="1">
      <c r="K35" s="81"/>
      <c r="N35" s="17"/>
    </row>
    <row r="36" spans="2:14" ht="16.95" customHeight="1">
      <c r="N36" s="17"/>
    </row>
    <row r="37" spans="2:14" ht="16.95" customHeight="1">
      <c r="K37" s="81"/>
      <c r="N37" s="17"/>
    </row>
    <row r="38" spans="2:14" ht="16.95" customHeight="1">
      <c r="K38" s="17"/>
      <c r="N38" s="17"/>
    </row>
    <row r="39" spans="2:14" ht="16.95" customHeight="1">
      <c r="K39" s="17"/>
      <c r="N39" s="17"/>
    </row>
    <row r="40" spans="2:14" ht="16.95" customHeight="1">
      <c r="N40" s="17"/>
    </row>
    <row r="41" spans="2:14" ht="16.95" customHeight="1">
      <c r="N41" s="17"/>
    </row>
    <row r="42" spans="2:14" ht="16.95" customHeight="1">
      <c r="N42" s="17"/>
    </row>
    <row r="46" spans="2:14" ht="16.95" customHeight="1">
      <c r="B46" s="373" t="s">
        <v>150</v>
      </c>
      <c r="C46" s="151"/>
      <c r="F46" s="17"/>
    </row>
    <row r="47" spans="2:14" ht="16.95" customHeight="1">
      <c r="C47" s="151"/>
      <c r="F47" s="17"/>
    </row>
    <row r="48" spans="2:14" ht="16.95" customHeight="1">
      <c r="C48" s="151"/>
      <c r="F48" s="17"/>
      <c r="K48" s="17"/>
      <c r="N48" s="17"/>
    </row>
    <row r="49" spans="1:14" ht="16.95" customHeight="1">
      <c r="C49" s="151"/>
      <c r="F49" s="17"/>
      <c r="K49" s="17"/>
      <c r="N49" s="17"/>
    </row>
    <row r="50" spans="1:14" ht="16.95" customHeight="1">
      <c r="C50" s="151"/>
      <c r="F50" s="17"/>
      <c r="K50" s="17"/>
      <c r="N50" s="17"/>
    </row>
    <row r="51" spans="1:14" ht="16.95" customHeight="1">
      <c r="C51" s="151"/>
      <c r="F51" s="17"/>
      <c r="K51" s="17"/>
      <c r="N51" s="17"/>
    </row>
    <row r="52" spans="1:14" ht="16.95" customHeight="1">
      <c r="C52" s="151"/>
      <c r="F52" s="17"/>
      <c r="K52" s="17"/>
      <c r="N52" s="17"/>
    </row>
    <row r="53" spans="1:14" ht="16.95" customHeight="1">
      <c r="C53" s="151"/>
      <c r="F53" s="17"/>
      <c r="K53" s="17"/>
      <c r="N53" s="17"/>
    </row>
    <row r="54" spans="1:14" ht="16.95" customHeight="1">
      <c r="C54" s="151"/>
      <c r="F54" s="17"/>
      <c r="K54" s="17"/>
      <c r="N54" s="17"/>
    </row>
    <row r="55" spans="1:14" ht="16.95" customHeight="1">
      <c r="C55" s="151"/>
      <c r="F55" s="17"/>
      <c r="K55" s="17"/>
      <c r="N55" s="17"/>
    </row>
    <row r="56" spans="1:14" ht="16.95" customHeight="1">
      <c r="F56" s="17"/>
      <c r="K56" s="17"/>
      <c r="N56" s="17"/>
    </row>
    <row r="57" spans="1:14" ht="16.95" customHeight="1">
      <c r="F57" s="17"/>
      <c r="K57" s="17"/>
      <c r="N57" s="17"/>
    </row>
    <row r="58" spans="1:14" ht="16.95" customHeight="1">
      <c r="F58" s="17"/>
      <c r="K58" s="17"/>
      <c r="N58" s="17"/>
    </row>
    <row r="59" spans="1:14" ht="16.95" customHeight="1">
      <c r="B59" s="373" t="s">
        <v>70</v>
      </c>
      <c r="F59" s="17"/>
      <c r="K59" s="17"/>
      <c r="N59" s="17"/>
    </row>
    <row r="60" spans="1:14" ht="16.95" customHeight="1">
      <c r="F60" s="17"/>
      <c r="K60" s="17"/>
      <c r="N60" s="17"/>
    </row>
    <row r="61" spans="1:14" ht="16.95" customHeight="1">
      <c r="D61" s="151"/>
      <c r="F61" s="17"/>
      <c r="K61" s="17"/>
      <c r="N61" s="17"/>
    </row>
    <row r="62" spans="1:14" ht="16.95" customHeight="1">
      <c r="E62" s="151"/>
      <c r="H62" s="151"/>
      <c r="K62" s="17"/>
      <c r="N62" s="17"/>
    </row>
    <row r="63" spans="1:14" ht="16.95" customHeight="1">
      <c r="A63" s="151"/>
      <c r="E63" s="151"/>
      <c r="H63" s="151"/>
      <c r="K63" s="17"/>
      <c r="N63" s="17"/>
    </row>
    <row r="64" spans="1:14" ht="16.95" customHeight="1">
      <c r="E64" s="151"/>
      <c r="H64" s="151"/>
    </row>
  </sheetData>
  <mergeCells count="11">
    <mergeCell ref="C1:G1"/>
    <mergeCell ref="H1:L1"/>
    <mergeCell ref="M1:Q1"/>
    <mergeCell ref="C14:H14"/>
    <mergeCell ref="C15:D15"/>
    <mergeCell ref="E15:F15"/>
    <mergeCell ref="G15:H15"/>
    <mergeCell ref="K14:P14"/>
    <mergeCell ref="K15:L15"/>
    <mergeCell ref="M15:N15"/>
    <mergeCell ref="O15:P15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8"/>
  <sheetViews>
    <sheetView zoomScaleNormal="100" workbookViewId="0">
      <selection activeCell="J18" sqref="J18"/>
    </sheetView>
  </sheetViews>
  <sheetFormatPr defaultColWidth="8.77734375" defaultRowHeight="16.95" customHeight="1"/>
  <cols>
    <col min="1" max="1" width="5.6640625" style="451" customWidth="1"/>
    <col min="2" max="2" width="1.21875" style="451" customWidth="1"/>
    <col min="3" max="3" width="17.77734375" style="404" customWidth="1"/>
    <col min="4" max="5" width="6.6640625" style="451" customWidth="1"/>
    <col min="6" max="6" width="7.6640625" style="451" customWidth="1"/>
    <col min="7" max="7" width="13.6640625" style="455" customWidth="1"/>
    <col min="8" max="9" width="7.6640625" style="451" customWidth="1"/>
    <col min="10" max="10" width="13.6640625" style="455" customWidth="1"/>
    <col min="11" max="12" width="7.6640625" style="451" customWidth="1"/>
    <col min="13" max="13" width="13.6640625" style="455" customWidth="1"/>
    <col min="14" max="14" width="7.6640625" style="451" customWidth="1"/>
    <col min="15" max="15" width="9.77734375" style="451" customWidth="1"/>
    <col min="16" max="16" width="10.77734375" style="451" customWidth="1"/>
    <col min="17" max="16384" width="8.77734375" style="451"/>
  </cols>
  <sheetData>
    <row r="1" spans="1:17" ht="16.95" customHeight="1">
      <c r="B1" s="452" t="s">
        <v>422</v>
      </c>
      <c r="C1" s="453"/>
      <c r="D1" s="452"/>
      <c r="E1" s="452"/>
      <c r="F1" s="452"/>
      <c r="G1" s="454"/>
      <c r="H1" s="452"/>
      <c r="I1" s="452"/>
      <c r="J1" s="454"/>
      <c r="K1" s="452"/>
    </row>
    <row r="2" spans="1:17" s="402" customFormat="1" ht="17.100000000000001" customHeight="1">
      <c r="B2" s="456" t="s">
        <v>417</v>
      </c>
      <c r="C2" s="456"/>
      <c r="D2" s="456"/>
      <c r="E2" s="456"/>
      <c r="F2" s="456"/>
      <c r="G2" s="457"/>
      <c r="H2" s="456"/>
      <c r="I2" s="456"/>
      <c r="J2" s="457"/>
      <c r="K2" s="456"/>
      <c r="M2" s="403"/>
    </row>
    <row r="3" spans="1:17" s="402" customFormat="1" ht="17.100000000000001" customHeight="1">
      <c r="B3" s="458"/>
      <c r="C3" s="458"/>
      <c r="D3" s="558" t="s">
        <v>209</v>
      </c>
      <c r="E3" s="558"/>
      <c r="F3" s="558" t="s">
        <v>16</v>
      </c>
      <c r="G3" s="558"/>
      <c r="H3" s="558"/>
      <c r="I3" s="558" t="s">
        <v>17</v>
      </c>
      <c r="J3" s="558"/>
      <c r="K3" s="558"/>
      <c r="L3" s="558" t="s">
        <v>18</v>
      </c>
      <c r="M3" s="558"/>
      <c r="N3" s="558"/>
      <c r="O3" s="558" t="s">
        <v>228</v>
      </c>
      <c r="P3" s="558"/>
      <c r="Q3" s="558"/>
    </row>
    <row r="4" spans="1:17" s="402" customFormat="1" ht="17.100000000000001" customHeight="1" thickBot="1">
      <c r="B4" s="459"/>
      <c r="C4" s="459"/>
      <c r="D4" s="278" t="s">
        <v>3</v>
      </c>
      <c r="E4" s="278" t="s">
        <v>4</v>
      </c>
      <c r="F4" s="278" t="s">
        <v>418</v>
      </c>
      <c r="G4" s="278" t="s">
        <v>419</v>
      </c>
      <c r="H4" s="281" t="s">
        <v>19</v>
      </c>
      <c r="I4" s="278" t="s">
        <v>20</v>
      </c>
      <c r="J4" s="278" t="s">
        <v>21</v>
      </c>
      <c r="K4" s="281" t="s">
        <v>19</v>
      </c>
      <c r="L4" s="278" t="s">
        <v>20</v>
      </c>
      <c r="M4" s="278" t="s">
        <v>21</v>
      </c>
      <c r="N4" s="281" t="s">
        <v>19</v>
      </c>
      <c r="O4" s="278" t="s">
        <v>20</v>
      </c>
      <c r="P4" s="278" t="s">
        <v>21</v>
      </c>
      <c r="Q4" s="281" t="s">
        <v>19</v>
      </c>
    </row>
    <row r="5" spans="1:17" s="402" customFormat="1" ht="17.100000000000001" customHeight="1" thickTop="1">
      <c r="B5" s="297" t="s">
        <v>22</v>
      </c>
      <c r="C5" s="189"/>
      <c r="D5" s="460"/>
      <c r="E5" s="460"/>
      <c r="F5" s="460"/>
      <c r="G5" s="461"/>
      <c r="H5" s="462"/>
      <c r="I5" s="460"/>
      <c r="J5" s="461"/>
      <c r="K5" s="460"/>
      <c r="L5" s="463"/>
      <c r="M5" s="461"/>
      <c r="N5" s="462"/>
      <c r="O5" s="463"/>
      <c r="P5" s="461"/>
      <c r="Q5" s="462"/>
    </row>
    <row r="6" spans="1:17" s="468" customFormat="1" ht="17.100000000000001" customHeight="1">
      <c r="A6" s="402"/>
      <c r="B6" s="297"/>
      <c r="C6" s="249" t="s">
        <v>35</v>
      </c>
      <c r="D6" s="189">
        <v>26219</v>
      </c>
      <c r="E6" s="464">
        <f>ROUND(D6/SUM(D$6:D$8)*100, 1)</f>
        <v>65.8</v>
      </c>
      <c r="F6" s="465">
        <v>1</v>
      </c>
      <c r="G6" s="466"/>
      <c r="H6" s="467"/>
      <c r="I6" s="465">
        <v>1</v>
      </c>
      <c r="J6" s="466"/>
      <c r="K6" s="467"/>
      <c r="L6" s="465">
        <v>1</v>
      </c>
      <c r="M6" s="466"/>
      <c r="N6" s="467"/>
      <c r="O6" s="465">
        <v>1</v>
      </c>
      <c r="P6" s="466"/>
      <c r="Q6" s="467"/>
    </row>
    <row r="7" spans="1:17" s="468" customFormat="1" ht="17.100000000000001" customHeight="1">
      <c r="B7" s="300"/>
      <c r="C7" s="249" t="s">
        <v>24</v>
      </c>
      <c r="D7" s="467">
        <v>4991</v>
      </c>
      <c r="E7" s="464">
        <f>ROUND(D7/SUM(D$6:D$8)*100, 1)</f>
        <v>12.5</v>
      </c>
      <c r="F7" s="465">
        <v>0.95450925226647398</v>
      </c>
      <c r="G7" s="466" t="s">
        <v>238</v>
      </c>
      <c r="H7" s="465">
        <v>0.53145236192963496</v>
      </c>
      <c r="I7" s="465">
        <v>0.98962964705958101</v>
      </c>
      <c r="J7" s="466" t="s">
        <v>291</v>
      </c>
      <c r="K7" s="465">
        <v>0.888651871691853</v>
      </c>
      <c r="L7" s="465">
        <v>0.97931903715077395</v>
      </c>
      <c r="M7" s="466" t="s">
        <v>267</v>
      </c>
      <c r="N7" s="465">
        <v>0.77918108929692298</v>
      </c>
      <c r="O7" s="465">
        <v>0.98453043774072901</v>
      </c>
      <c r="P7" s="466" t="s">
        <v>276</v>
      </c>
      <c r="Q7" s="465">
        <v>0.83475194140156095</v>
      </c>
    </row>
    <row r="8" spans="1:17" s="468" customFormat="1" ht="17.100000000000001" customHeight="1">
      <c r="B8" s="300"/>
      <c r="C8" s="249" t="s">
        <v>25</v>
      </c>
      <c r="D8" s="469">
        <v>8649</v>
      </c>
      <c r="E8" s="464">
        <f>ROUND(D8/SUM(D$6:D$8)*100, 1)</f>
        <v>21.7</v>
      </c>
      <c r="F8" s="465">
        <v>0.82953695693586604</v>
      </c>
      <c r="G8" s="466" t="s">
        <v>235</v>
      </c>
      <c r="H8" s="465">
        <v>5.6045801434092503E-3</v>
      </c>
      <c r="I8" s="465">
        <v>0.86515331519297001</v>
      </c>
      <c r="J8" s="466" t="s">
        <v>283</v>
      </c>
      <c r="K8" s="465">
        <v>3.2797286197595601E-2</v>
      </c>
      <c r="L8" s="465">
        <v>0.87142391823168497</v>
      </c>
      <c r="M8" s="466" t="s">
        <v>257</v>
      </c>
      <c r="N8" s="465">
        <v>4.2641641263962402E-2</v>
      </c>
      <c r="O8" s="465">
        <v>0.87154593587620599</v>
      </c>
      <c r="P8" s="466" t="s">
        <v>268</v>
      </c>
      <c r="Q8" s="465">
        <v>4.3765904172120902E-2</v>
      </c>
    </row>
    <row r="9" spans="1:17" s="468" customFormat="1" ht="17.100000000000001" customHeight="1">
      <c r="B9" s="467" t="s">
        <v>227</v>
      </c>
      <c r="C9" s="249"/>
      <c r="D9" s="470"/>
      <c r="E9" s="471"/>
      <c r="F9" s="465"/>
      <c r="G9" s="307"/>
      <c r="H9" s="472"/>
      <c r="I9" s="472"/>
      <c r="J9" s="307"/>
      <c r="K9" s="337"/>
      <c r="L9" s="250"/>
      <c r="M9" s="307"/>
      <c r="N9" s="472"/>
      <c r="O9" s="250"/>
      <c r="P9" s="307"/>
      <c r="Q9" s="472"/>
    </row>
    <row r="10" spans="1:17" s="468" customFormat="1" ht="17.100000000000001" customHeight="1">
      <c r="B10" s="300"/>
      <c r="C10" s="249" t="s">
        <v>23</v>
      </c>
      <c r="D10" s="467">
        <v>4775</v>
      </c>
      <c r="E10" s="464">
        <f>ROUND(D10/SUM(D$10:D$12)*100, 1)</f>
        <v>12</v>
      </c>
      <c r="F10" s="250"/>
      <c r="G10" s="307"/>
      <c r="H10" s="472"/>
      <c r="I10" s="472"/>
      <c r="J10" s="307"/>
      <c r="K10" s="337"/>
      <c r="L10" s="465">
        <v>1</v>
      </c>
      <c r="M10" s="466"/>
      <c r="N10" s="465"/>
      <c r="O10" s="465"/>
      <c r="P10" s="466"/>
      <c r="Q10" s="465"/>
    </row>
    <row r="11" spans="1:17" s="468" customFormat="1" ht="17.100000000000001" customHeight="1">
      <c r="B11" s="300"/>
      <c r="C11" s="249" t="s">
        <v>27</v>
      </c>
      <c r="D11" s="467">
        <v>19741</v>
      </c>
      <c r="E11" s="464">
        <f>ROUND(D11/SUM(D$10:D$12)*100, 1)</f>
        <v>49.5</v>
      </c>
      <c r="F11" s="250"/>
      <c r="G11" s="307"/>
      <c r="H11" s="472"/>
      <c r="I11" s="472"/>
      <c r="J11" s="307"/>
      <c r="K11" s="337"/>
      <c r="L11" s="465">
        <v>0.95786288439589895</v>
      </c>
      <c r="M11" s="466" t="s">
        <v>265</v>
      </c>
      <c r="N11" s="465">
        <v>0.585608391172315</v>
      </c>
      <c r="O11" s="465"/>
      <c r="P11" s="466"/>
      <c r="Q11" s="465"/>
    </row>
    <row r="12" spans="1:17" s="402" customFormat="1" ht="17.100000000000001" customHeight="1">
      <c r="A12" s="468"/>
      <c r="B12" s="300"/>
      <c r="C12" s="249" t="s">
        <v>10</v>
      </c>
      <c r="D12" s="467">
        <v>15343</v>
      </c>
      <c r="E12" s="464">
        <f>ROUND(D12/SUM(D$10:D$12)*100, 1)</f>
        <v>38.5</v>
      </c>
      <c r="F12" s="250"/>
      <c r="G12" s="307"/>
      <c r="H12" s="472"/>
      <c r="I12" s="472"/>
      <c r="J12" s="307"/>
      <c r="K12" s="337"/>
      <c r="L12" s="465">
        <v>0.82184200916713002</v>
      </c>
      <c r="M12" s="466" t="s">
        <v>266</v>
      </c>
      <c r="N12" s="465">
        <v>1.8847835783387501E-2</v>
      </c>
      <c r="O12" s="465"/>
      <c r="P12" s="466"/>
      <c r="Q12" s="465"/>
    </row>
    <row r="13" spans="1:17" s="402" customFormat="1" ht="17.100000000000001" customHeight="1">
      <c r="A13" s="468"/>
      <c r="B13" s="467" t="s">
        <v>26</v>
      </c>
      <c r="C13" s="249"/>
      <c r="D13" s="467"/>
      <c r="E13" s="464"/>
      <c r="F13" s="250"/>
      <c r="G13" s="307"/>
      <c r="H13" s="472"/>
      <c r="I13" s="472"/>
      <c r="J13" s="307"/>
      <c r="K13" s="337"/>
      <c r="L13" s="465"/>
      <c r="M13" s="466"/>
      <c r="N13" s="465"/>
      <c r="O13" s="465"/>
      <c r="P13" s="466"/>
      <c r="Q13" s="465"/>
    </row>
    <row r="14" spans="1:17" s="402" customFormat="1" ht="17.100000000000001" customHeight="1">
      <c r="A14" s="468"/>
      <c r="B14" s="300"/>
      <c r="C14" s="249" t="s">
        <v>23</v>
      </c>
      <c r="D14" s="467">
        <v>11382</v>
      </c>
      <c r="E14" s="464">
        <f>ROUND(D14/SUM(D$10:D$12)*100, 1)</f>
        <v>28.6</v>
      </c>
      <c r="F14" s="250"/>
      <c r="G14" s="307"/>
      <c r="H14" s="472"/>
      <c r="I14" s="472"/>
      <c r="J14" s="307"/>
      <c r="K14" s="337"/>
      <c r="L14" s="465"/>
      <c r="M14" s="466"/>
      <c r="N14" s="465"/>
      <c r="O14" s="465">
        <v>1</v>
      </c>
      <c r="P14" s="466"/>
      <c r="Q14" s="465"/>
    </row>
    <row r="15" spans="1:17" s="402" customFormat="1" ht="17.100000000000001" customHeight="1">
      <c r="A15" s="468"/>
      <c r="B15" s="300"/>
      <c r="C15" s="249" t="s">
        <v>27</v>
      </c>
      <c r="D15" s="467">
        <v>23069</v>
      </c>
      <c r="E15" s="464">
        <f>ROUND(D15/SUM(D$10:D$12)*100, 1)</f>
        <v>57.9</v>
      </c>
      <c r="F15" s="250"/>
      <c r="G15" s="307"/>
      <c r="H15" s="472"/>
      <c r="I15" s="472"/>
      <c r="J15" s="307"/>
      <c r="K15" s="337"/>
      <c r="L15" s="465"/>
      <c r="M15" s="466"/>
      <c r="N15" s="465"/>
      <c r="O15" s="465">
        <v>0.96632525827752902</v>
      </c>
      <c r="P15" s="466" t="s">
        <v>277</v>
      </c>
      <c r="Q15" s="465">
        <v>0.544622181629976</v>
      </c>
    </row>
    <row r="16" spans="1:17" s="402" customFormat="1" ht="17.100000000000001" customHeight="1">
      <c r="A16" s="468"/>
      <c r="B16" s="300"/>
      <c r="C16" s="249" t="s">
        <v>10</v>
      </c>
      <c r="D16" s="467">
        <v>5408</v>
      </c>
      <c r="E16" s="464">
        <f>ROUND(D16/SUM(D$10:D$12)*100, 1)</f>
        <v>13.6</v>
      </c>
      <c r="F16" s="250"/>
      <c r="G16" s="307"/>
      <c r="H16" s="472"/>
      <c r="I16" s="472"/>
      <c r="J16" s="307"/>
      <c r="K16" s="337"/>
      <c r="L16" s="465"/>
      <c r="M16" s="466"/>
      <c r="N16" s="465"/>
      <c r="O16" s="465">
        <v>0.92145891675757496</v>
      </c>
      <c r="P16" s="466" t="s">
        <v>278</v>
      </c>
      <c r="Q16" s="465">
        <v>0.31184019412915998</v>
      </c>
    </row>
    <row r="17" spans="1:17" s="402" customFormat="1" ht="17.100000000000001" customHeight="1">
      <c r="A17" s="468"/>
      <c r="B17" s="467" t="s">
        <v>229</v>
      </c>
      <c r="C17" s="249"/>
      <c r="D17" s="467"/>
      <c r="E17" s="464"/>
      <c r="F17" s="250"/>
      <c r="G17" s="307"/>
      <c r="H17" s="472"/>
      <c r="I17" s="472"/>
      <c r="J17" s="307"/>
      <c r="K17" s="337"/>
      <c r="L17" s="465"/>
      <c r="M17" s="466"/>
      <c r="N17" s="465"/>
    </row>
    <row r="18" spans="1:17" s="402" customFormat="1" ht="17.100000000000001" customHeight="1">
      <c r="A18" s="468"/>
      <c r="B18" s="300"/>
      <c r="C18" s="249" t="s">
        <v>23</v>
      </c>
      <c r="D18" s="467">
        <v>28257</v>
      </c>
      <c r="E18" s="464">
        <f>ROUND(D18/SUM(D$10:D$12)*100, 1)</f>
        <v>70.900000000000006</v>
      </c>
      <c r="F18" s="250"/>
      <c r="G18" s="307"/>
      <c r="H18" s="472"/>
      <c r="I18" s="472"/>
      <c r="J18" s="307"/>
      <c r="K18" s="337"/>
      <c r="L18" s="465"/>
      <c r="M18" s="466"/>
      <c r="N18" s="465"/>
      <c r="O18" s="473">
        <v>1</v>
      </c>
      <c r="Q18" s="473"/>
    </row>
    <row r="19" spans="1:17" s="402" customFormat="1" ht="17.100000000000001" customHeight="1">
      <c r="A19" s="468"/>
      <c r="B19" s="300"/>
      <c r="C19" s="249" t="s">
        <v>27</v>
      </c>
      <c r="D19" s="467">
        <v>4302</v>
      </c>
      <c r="E19" s="464">
        <f>ROUND(D19/SUM(D$10:D$12)*100, 1)</f>
        <v>10.8</v>
      </c>
      <c r="F19" s="250"/>
      <c r="G19" s="307"/>
      <c r="H19" s="472"/>
      <c r="I19" s="472"/>
      <c r="J19" s="307"/>
      <c r="K19" s="337"/>
      <c r="L19" s="465"/>
      <c r="M19" s="466"/>
      <c r="N19" s="465"/>
      <c r="O19" s="465">
        <v>0.957237784383974</v>
      </c>
      <c r="P19" s="466" t="s">
        <v>279</v>
      </c>
      <c r="Q19" s="465">
        <v>0.55388345178034004</v>
      </c>
    </row>
    <row r="20" spans="1:17" s="402" customFormat="1" ht="17.100000000000001" customHeight="1">
      <c r="A20" s="468"/>
      <c r="B20" s="300"/>
      <c r="C20" s="249" t="s">
        <v>10</v>
      </c>
      <c r="D20" s="467">
        <v>7300</v>
      </c>
      <c r="E20" s="464">
        <f>ROUND(D20/SUM(D$10:D$12)*100, 1)</f>
        <v>18.3</v>
      </c>
      <c r="F20" s="250"/>
      <c r="G20" s="307"/>
      <c r="H20" s="472"/>
      <c r="I20" s="472"/>
      <c r="J20" s="307"/>
      <c r="K20" s="337"/>
      <c r="L20" s="465"/>
      <c r="M20" s="466"/>
      <c r="N20" s="465"/>
      <c r="O20" s="465">
        <v>0.88620107230575895</v>
      </c>
      <c r="P20" s="466" t="s">
        <v>280</v>
      </c>
      <c r="Q20" s="465">
        <v>5.9741469517711802E-2</v>
      </c>
    </row>
    <row r="21" spans="1:17" s="402" customFormat="1" ht="17.100000000000001" customHeight="1">
      <c r="A21" s="468"/>
      <c r="B21" s="175" t="s">
        <v>239</v>
      </c>
      <c r="C21" s="249"/>
      <c r="D21" s="467"/>
      <c r="E21" s="464"/>
      <c r="F21" s="250"/>
      <c r="G21" s="307"/>
      <c r="H21" s="472"/>
      <c r="I21" s="472"/>
      <c r="J21" s="307"/>
      <c r="K21" s="337"/>
      <c r="L21" s="465"/>
      <c r="M21" s="466"/>
      <c r="N21" s="465"/>
    </row>
    <row r="22" spans="1:17" s="402" customFormat="1" ht="17.100000000000001" customHeight="1">
      <c r="A22" s="468"/>
      <c r="B22" s="300"/>
      <c r="C22" s="249" t="s">
        <v>23</v>
      </c>
      <c r="D22" s="467">
        <v>13846</v>
      </c>
      <c r="E22" s="464">
        <f>ROUND(D22/SUM(D$10:D$12)*100, 1)</f>
        <v>34.700000000000003</v>
      </c>
      <c r="F22" s="250"/>
      <c r="G22" s="307"/>
      <c r="H22" s="472"/>
      <c r="I22" s="472"/>
      <c r="J22" s="307"/>
      <c r="K22" s="337"/>
      <c r="L22" s="465"/>
      <c r="M22" s="466"/>
      <c r="N22" s="465"/>
      <c r="O22" s="465">
        <v>1</v>
      </c>
      <c r="P22" s="466"/>
      <c r="Q22" s="465"/>
    </row>
    <row r="23" spans="1:17" s="402" customFormat="1" ht="17.100000000000001" customHeight="1">
      <c r="A23" s="468"/>
      <c r="B23" s="300"/>
      <c r="C23" s="249" t="s">
        <v>27</v>
      </c>
      <c r="D23" s="467">
        <v>23061</v>
      </c>
      <c r="E23" s="464">
        <f>ROUND(D23/SUM(D$10:D$12)*100, 1)</f>
        <v>57.9</v>
      </c>
      <c r="F23" s="250"/>
      <c r="G23" s="307"/>
      <c r="H23" s="472"/>
      <c r="I23" s="472"/>
      <c r="J23" s="307"/>
      <c r="K23" s="337"/>
      <c r="L23" s="465"/>
      <c r="M23" s="466"/>
      <c r="N23" s="465"/>
      <c r="O23" s="473">
        <v>0.95385716544496502</v>
      </c>
      <c r="P23" s="402" t="s">
        <v>281</v>
      </c>
      <c r="Q23" s="473">
        <v>0.38893769399752598</v>
      </c>
    </row>
    <row r="24" spans="1:17" s="402" customFormat="1" ht="17.100000000000001" customHeight="1">
      <c r="A24" s="468"/>
      <c r="B24" s="301"/>
      <c r="C24" s="302" t="s">
        <v>10</v>
      </c>
      <c r="D24" s="474">
        <v>2952</v>
      </c>
      <c r="E24" s="475">
        <f>ROUND(D24/SUM(D$10:D$12)*100, 1)</f>
        <v>7.4</v>
      </c>
      <c r="F24" s="476"/>
      <c r="G24" s="305"/>
      <c r="H24" s="477"/>
      <c r="I24" s="477"/>
      <c r="J24" s="305"/>
      <c r="K24" s="478"/>
      <c r="L24" s="479"/>
      <c r="M24" s="480"/>
      <c r="N24" s="479"/>
      <c r="O24" s="479">
        <v>0.97645939913148105</v>
      </c>
      <c r="P24" s="480" t="s">
        <v>282</v>
      </c>
      <c r="Q24" s="479">
        <v>0.79611572665723995</v>
      </c>
    </row>
    <row r="25" spans="1:17" s="402" customFormat="1" ht="17.100000000000001" customHeight="1">
      <c r="A25" s="481"/>
      <c r="B25" s="482" t="s">
        <v>420</v>
      </c>
      <c r="C25" s="483"/>
      <c r="D25" s="483"/>
      <c r="E25" s="483"/>
      <c r="F25" s="483"/>
      <c r="G25" s="484"/>
      <c r="H25" s="483"/>
      <c r="I25" s="483"/>
      <c r="J25" s="484"/>
      <c r="K25" s="483"/>
      <c r="L25" s="483"/>
      <c r="M25" s="484"/>
      <c r="N25" s="483"/>
    </row>
    <row r="26" spans="1:17" s="402" customFormat="1" ht="17.100000000000001" customHeight="1">
      <c r="A26" s="481"/>
      <c r="B26" s="483" t="s">
        <v>421</v>
      </c>
      <c r="C26" s="483"/>
      <c r="D26" s="483"/>
      <c r="E26" s="483"/>
      <c r="F26" s="483"/>
      <c r="G26" s="484"/>
      <c r="H26" s="483"/>
      <c r="I26" s="483"/>
      <c r="J26" s="484"/>
      <c r="K26" s="483"/>
      <c r="L26" s="483"/>
      <c r="M26" s="484"/>
      <c r="N26" s="483"/>
    </row>
    <row r="27" spans="1:17" s="402" customFormat="1" ht="17.100000000000001" customHeight="1">
      <c r="A27" s="481"/>
      <c r="B27" s="485" t="s">
        <v>31</v>
      </c>
      <c r="C27" s="485"/>
      <c r="D27" s="485"/>
      <c r="E27" s="485"/>
      <c r="F27" s="485"/>
      <c r="G27" s="486"/>
      <c r="H27" s="485"/>
      <c r="I27" s="485"/>
      <c r="J27" s="486"/>
      <c r="K27" s="485"/>
      <c r="L27" s="485"/>
      <c r="M27" s="486"/>
      <c r="N27" s="485"/>
    </row>
    <row r="28" spans="1:17" s="402" customFormat="1" ht="17.100000000000001" customHeight="1">
      <c r="A28" s="481"/>
      <c r="B28" s="485" t="s">
        <v>32</v>
      </c>
      <c r="C28" s="485"/>
      <c r="D28" s="485"/>
      <c r="E28" s="485"/>
      <c r="F28" s="485"/>
      <c r="G28" s="486"/>
      <c r="H28" s="485"/>
      <c r="I28" s="485"/>
      <c r="J28" s="486"/>
      <c r="K28" s="485"/>
      <c r="L28" s="485"/>
      <c r="M28" s="486"/>
      <c r="N28" s="485"/>
    </row>
    <row r="29" spans="1:17" s="402" customFormat="1" ht="17.100000000000001" customHeight="1">
      <c r="A29" s="451"/>
      <c r="B29" s="451"/>
      <c r="C29" s="404"/>
      <c r="D29" s="451"/>
      <c r="E29" s="451"/>
      <c r="F29" s="451"/>
      <c r="G29" s="455"/>
      <c r="H29" s="451"/>
      <c r="I29" s="451"/>
      <c r="J29" s="455"/>
      <c r="K29" s="451"/>
      <c r="L29" s="451"/>
      <c r="M29" s="455"/>
      <c r="N29" s="451"/>
    </row>
    <row r="30" spans="1:17" s="402" customFormat="1" ht="17.100000000000001" customHeight="1">
      <c r="A30" s="451"/>
      <c r="B30" s="451"/>
      <c r="C30" s="404"/>
      <c r="D30" s="451"/>
      <c r="E30" s="487"/>
      <c r="F30" s="487"/>
      <c r="G30" s="488"/>
      <c r="H30" s="451"/>
      <c r="I30" s="451"/>
      <c r="J30" s="455"/>
      <c r="K30" s="451"/>
      <c r="L30" s="451"/>
      <c r="M30" s="455"/>
      <c r="N30" s="451"/>
    </row>
    <row r="31" spans="1:17" s="402" customFormat="1" ht="17.100000000000001" customHeight="1">
      <c r="A31" s="451"/>
      <c r="B31" s="451"/>
      <c r="C31" s="404"/>
      <c r="D31" s="451"/>
      <c r="E31" s="451"/>
      <c r="F31" s="451"/>
      <c r="G31" s="455"/>
      <c r="H31" s="451"/>
      <c r="I31" s="451"/>
      <c r="J31" s="455"/>
      <c r="K31" s="451"/>
      <c r="L31" s="451"/>
      <c r="M31" s="455"/>
      <c r="N31" s="451"/>
    </row>
    <row r="32" spans="1:17" s="481" customFormat="1" ht="15.6">
      <c r="A32" s="451"/>
      <c r="B32" s="451"/>
      <c r="C32" s="404"/>
      <c r="D32" s="451"/>
      <c r="E32" s="451"/>
      <c r="F32" s="451"/>
      <c r="G32" s="455"/>
      <c r="H32" s="451"/>
      <c r="I32" s="451"/>
      <c r="J32" s="455"/>
      <c r="K32" s="451"/>
      <c r="L32" s="451"/>
      <c r="M32" s="455"/>
      <c r="N32" s="451"/>
    </row>
    <row r="33" spans="1:14" s="481" customFormat="1" ht="15.6">
      <c r="A33" s="451"/>
      <c r="B33" s="451"/>
      <c r="C33" s="404"/>
      <c r="D33" s="451"/>
      <c r="E33" s="451"/>
      <c r="F33" s="451"/>
      <c r="G33" s="455"/>
      <c r="H33" s="451"/>
      <c r="I33" s="451"/>
      <c r="J33" s="455"/>
      <c r="K33" s="451"/>
      <c r="L33" s="451"/>
      <c r="M33" s="455"/>
      <c r="N33" s="451"/>
    </row>
    <row r="34" spans="1:14" s="481" customFormat="1" ht="15.6">
      <c r="A34" s="451"/>
      <c r="B34" s="451"/>
      <c r="C34" s="404"/>
      <c r="D34" s="451"/>
      <c r="E34" s="451"/>
      <c r="F34" s="451"/>
      <c r="G34" s="455"/>
      <c r="H34" s="451"/>
      <c r="I34" s="451"/>
      <c r="J34" s="455"/>
      <c r="K34" s="451"/>
      <c r="L34" s="451"/>
      <c r="M34" s="455"/>
      <c r="N34" s="451"/>
    </row>
    <row r="35" spans="1:14" s="481" customFormat="1" ht="15.6">
      <c r="A35" s="451"/>
      <c r="B35" s="451"/>
      <c r="C35" s="404"/>
      <c r="D35" s="451"/>
      <c r="E35" s="451"/>
      <c r="F35" s="451"/>
      <c r="G35" s="455"/>
      <c r="H35" s="451"/>
      <c r="I35" s="451"/>
      <c r="J35" s="455"/>
      <c r="K35" s="451"/>
      <c r="L35" s="451"/>
      <c r="M35" s="455"/>
      <c r="N35" s="451"/>
    </row>
    <row r="36" spans="1:14" ht="15.6"/>
    <row r="38" spans="1:14" ht="15.6"/>
  </sheetData>
  <mergeCells count="5">
    <mergeCell ref="D3:E3"/>
    <mergeCell ref="F3:H3"/>
    <mergeCell ref="I3:K3"/>
    <mergeCell ref="L3:N3"/>
    <mergeCell ref="O3:Q3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R36"/>
  <sheetViews>
    <sheetView topLeftCell="A7" zoomScale="70" zoomScaleNormal="70" workbookViewId="0">
      <selection activeCell="G42" sqref="G42"/>
    </sheetView>
  </sheetViews>
  <sheetFormatPr defaultColWidth="9" defaultRowHeight="15.6"/>
  <cols>
    <col min="1" max="1" width="9" style="189"/>
    <col min="2" max="2" width="21" style="189" customWidth="1"/>
    <col min="3" max="3" width="11.88671875" style="189" bestFit="1" customWidth="1"/>
    <col min="4" max="5" width="7" style="189" customWidth="1"/>
    <col min="6" max="6" width="8.6640625" style="189" customWidth="1"/>
    <col min="7" max="7" width="13.33203125" style="307" customWidth="1"/>
    <col min="8" max="9" width="8.6640625" style="189" customWidth="1"/>
    <col min="10" max="10" width="12.6640625" style="307" bestFit="1" customWidth="1"/>
    <col min="11" max="12" width="8.6640625" style="189" customWidth="1"/>
    <col min="13" max="13" width="12.6640625" style="307" bestFit="1" customWidth="1"/>
    <col min="14" max="14" width="8.6640625" style="189" customWidth="1"/>
    <col min="15" max="15" width="9" style="189"/>
    <col min="16" max="16" width="13.88671875" style="189" customWidth="1"/>
    <col min="17" max="17" width="7.77734375" style="189" customWidth="1"/>
    <col min="18" max="16384" width="9" style="189"/>
  </cols>
  <sheetData>
    <row r="2" spans="2:18" ht="17.399999999999999" customHeight="1">
      <c r="B2" s="276"/>
      <c r="C2" s="276"/>
      <c r="D2" s="276" t="s">
        <v>208</v>
      </c>
      <c r="E2" s="276"/>
      <c r="F2" s="558" t="s">
        <v>139</v>
      </c>
      <c r="G2" s="558"/>
      <c r="H2" s="562"/>
      <c r="I2" s="563" t="s">
        <v>17</v>
      </c>
      <c r="J2" s="558"/>
      <c r="K2" s="562"/>
      <c r="L2" s="563" t="s">
        <v>18</v>
      </c>
      <c r="M2" s="558"/>
      <c r="N2" s="562"/>
      <c r="O2" s="558" t="s">
        <v>228</v>
      </c>
      <c r="P2" s="558"/>
      <c r="Q2" s="558"/>
    </row>
    <row r="3" spans="2:18" ht="18" thickBot="1">
      <c r="B3" s="277"/>
      <c r="C3" s="277"/>
      <c r="D3" s="278" t="s">
        <v>211</v>
      </c>
      <c r="E3" s="278" t="s">
        <v>210</v>
      </c>
      <c r="F3" s="278" t="s">
        <v>240</v>
      </c>
      <c r="G3" s="278" t="s">
        <v>241</v>
      </c>
      <c r="H3" s="279" t="s">
        <v>19</v>
      </c>
      <c r="I3" s="280" t="s">
        <v>20</v>
      </c>
      <c r="J3" s="278" t="s">
        <v>21</v>
      </c>
      <c r="K3" s="279" t="s">
        <v>19</v>
      </c>
      <c r="L3" s="280" t="s">
        <v>20</v>
      </c>
      <c r="M3" s="278" t="s">
        <v>21</v>
      </c>
      <c r="N3" s="279" t="s">
        <v>19</v>
      </c>
      <c r="O3" s="278" t="s">
        <v>20</v>
      </c>
      <c r="P3" s="278" t="s">
        <v>21</v>
      </c>
      <c r="Q3" s="281" t="s">
        <v>19</v>
      </c>
    </row>
    <row r="4" spans="2:18" ht="16.2" thickTop="1">
      <c r="B4" s="282" t="s">
        <v>140</v>
      </c>
      <c r="C4" s="249" t="s">
        <v>141</v>
      </c>
      <c r="D4" s="268">
        <v>26219</v>
      </c>
      <c r="E4" s="268">
        <f>ROUND(D4/SUM(D$4:D$6)*100, 1)</f>
        <v>65.8</v>
      </c>
      <c r="F4" s="336">
        <v>1</v>
      </c>
      <c r="H4" s="283"/>
      <c r="I4" s="284">
        <v>1</v>
      </c>
      <c r="K4" s="283"/>
      <c r="L4" s="284">
        <v>1</v>
      </c>
      <c r="N4" s="283"/>
      <c r="O4" s="336">
        <v>1</v>
      </c>
      <c r="P4" s="307"/>
    </row>
    <row r="5" spans="2:18">
      <c r="C5" s="249" t="s">
        <v>6</v>
      </c>
      <c r="D5" s="268">
        <v>4991</v>
      </c>
      <c r="E5" s="268">
        <f t="shared" ref="E5:E6" si="0">ROUND(D5/SUM(D$4:D$6)*100, 1)</f>
        <v>12.5</v>
      </c>
      <c r="F5" s="336">
        <v>0.95450925226647398</v>
      </c>
      <c r="G5" s="307" t="s">
        <v>238</v>
      </c>
      <c r="H5" s="285">
        <v>0.53145236192963496</v>
      </c>
      <c r="I5" s="284">
        <v>0.98962964705958101</v>
      </c>
      <c r="J5" s="307" t="s">
        <v>291</v>
      </c>
      <c r="K5" s="285">
        <v>0.888651871691853</v>
      </c>
      <c r="L5" s="284">
        <v>0.97931903715077395</v>
      </c>
      <c r="M5" s="307" t="s">
        <v>267</v>
      </c>
      <c r="N5" s="285">
        <v>0.77918108929692298</v>
      </c>
      <c r="O5" s="336">
        <v>0.98453043774072901</v>
      </c>
      <c r="P5" s="307" t="s">
        <v>276</v>
      </c>
      <c r="Q5" s="336">
        <v>0.83475194140156095</v>
      </c>
    </row>
    <row r="6" spans="2:18">
      <c r="C6" s="249" t="s">
        <v>7</v>
      </c>
      <c r="D6" s="268">
        <v>8649</v>
      </c>
      <c r="E6" s="268">
        <f t="shared" si="0"/>
        <v>21.7</v>
      </c>
      <c r="F6" s="336">
        <v>0.82953695693586604</v>
      </c>
      <c r="G6" s="307" t="s">
        <v>235</v>
      </c>
      <c r="H6" s="285">
        <v>5.6045801434092503E-3</v>
      </c>
      <c r="I6" s="284">
        <v>0.86515331519297001</v>
      </c>
      <c r="J6" s="307" t="s">
        <v>283</v>
      </c>
      <c r="K6" s="285">
        <v>3.2797286197595601E-2</v>
      </c>
      <c r="L6" s="284">
        <v>0.87142391823168497</v>
      </c>
      <c r="M6" s="307" t="s">
        <v>257</v>
      </c>
      <c r="N6" s="285">
        <v>4.2641641263962402E-2</v>
      </c>
      <c r="O6" s="336">
        <v>0.87154593587620599</v>
      </c>
      <c r="P6" s="307" t="s">
        <v>268</v>
      </c>
      <c r="Q6" s="336">
        <v>4.3765904172120902E-2</v>
      </c>
    </row>
    <row r="7" spans="2:18">
      <c r="B7" s="189" t="s">
        <v>143</v>
      </c>
      <c r="C7" s="249" t="s">
        <v>152</v>
      </c>
      <c r="D7" s="259">
        <v>20509</v>
      </c>
      <c r="E7" s="268">
        <f>ROUND(D7/SUM(D$7:D$8)*100, 1)</f>
        <v>51.5</v>
      </c>
      <c r="F7" s="337">
        <v>1</v>
      </c>
      <c r="H7" s="275"/>
      <c r="I7" s="274">
        <v>1</v>
      </c>
      <c r="K7" s="275"/>
      <c r="L7" s="274">
        <v>1</v>
      </c>
      <c r="N7" s="275"/>
      <c r="O7" s="337">
        <v>1</v>
      </c>
      <c r="P7" s="307"/>
      <c r="Q7" s="337"/>
    </row>
    <row r="8" spans="2:18">
      <c r="C8" s="286" t="s">
        <v>242</v>
      </c>
      <c r="D8" s="259">
        <v>19350</v>
      </c>
      <c r="E8" s="268">
        <f>ROUND(D8/SUM(D$7:D$8)*100, 1)</f>
        <v>48.5</v>
      </c>
      <c r="F8" s="337">
        <v>2.2629957288741198</v>
      </c>
      <c r="G8" s="307" t="s">
        <v>236</v>
      </c>
      <c r="H8" s="275">
        <v>3.6880213023904099E-63</v>
      </c>
      <c r="I8" s="274">
        <v>1.8914992250531699</v>
      </c>
      <c r="J8" s="307" t="s">
        <v>284</v>
      </c>
      <c r="K8" s="275">
        <v>6.0292391502596996E-36</v>
      </c>
      <c r="L8" s="274">
        <v>1.9374310445115499</v>
      </c>
      <c r="M8" s="307" t="s">
        <v>258</v>
      </c>
      <c r="N8" s="275">
        <v>9.5624207307073304E-38</v>
      </c>
      <c r="O8" s="337">
        <v>1.92362541783978</v>
      </c>
      <c r="P8" s="307" t="s">
        <v>269</v>
      </c>
      <c r="Q8" s="337">
        <v>9.7897030788895301E-37</v>
      </c>
    </row>
    <row r="9" spans="2:18">
      <c r="B9" s="189" t="s">
        <v>144</v>
      </c>
      <c r="C9" s="249" t="s">
        <v>51</v>
      </c>
      <c r="D9" s="259">
        <v>29831</v>
      </c>
      <c r="E9" s="268">
        <f>ROUND(D9/SUM(D$9:D$10)*100, 1)</f>
        <v>74.8</v>
      </c>
      <c r="F9" s="337">
        <v>1</v>
      </c>
      <c r="H9" s="275"/>
      <c r="I9" s="274">
        <v>1</v>
      </c>
      <c r="K9" s="275"/>
      <c r="L9" s="274">
        <v>1</v>
      </c>
      <c r="N9" s="275"/>
      <c r="O9" s="337">
        <v>1</v>
      </c>
      <c r="P9" s="307"/>
      <c r="Q9" s="337"/>
    </row>
    <row r="10" spans="2:18">
      <c r="B10" s="287"/>
      <c r="C10" s="288" t="s">
        <v>153</v>
      </c>
      <c r="D10" s="259">
        <v>10028</v>
      </c>
      <c r="E10" s="268">
        <f>ROUND(D10/SUM(D$9:D$10)*100, 1)</f>
        <v>25.2</v>
      </c>
      <c r="F10" s="338">
        <v>0.70764777958375502</v>
      </c>
      <c r="G10" s="289" t="s">
        <v>237</v>
      </c>
      <c r="H10" s="291">
        <v>5.1798268848117698E-13</v>
      </c>
      <c r="I10" s="290">
        <v>0.70114886120619302</v>
      </c>
      <c r="J10" s="289" t="s">
        <v>285</v>
      </c>
      <c r="K10" s="291">
        <v>2.9034828769096199E-13</v>
      </c>
      <c r="L10" s="290">
        <v>0.71504998664236896</v>
      </c>
      <c r="M10" s="289" t="s">
        <v>259</v>
      </c>
      <c r="N10" s="291">
        <v>8.4758902077381699E-12</v>
      </c>
      <c r="O10" s="338">
        <v>0.70956588405784304</v>
      </c>
      <c r="P10" s="289" t="s">
        <v>270</v>
      </c>
      <c r="Q10" s="338">
        <v>4.51490897268627E-12</v>
      </c>
    </row>
    <row r="11" spans="2:18">
      <c r="B11" s="256" t="s">
        <v>172</v>
      </c>
      <c r="C11" s="253"/>
      <c r="D11" s="560">
        <v>24.92398</v>
      </c>
      <c r="E11" s="560"/>
      <c r="F11" s="257"/>
      <c r="G11" s="258"/>
      <c r="H11" s="266"/>
      <c r="I11" s="292">
        <v>0.96900620823523997</v>
      </c>
      <c r="J11" s="320" t="s">
        <v>234</v>
      </c>
      <c r="K11" s="293">
        <v>2.89061093896994E-5</v>
      </c>
      <c r="L11" s="292">
        <v>0.970333782525717</v>
      </c>
      <c r="M11" s="320" t="s">
        <v>232</v>
      </c>
      <c r="N11" s="293">
        <v>6.29600528369934E-5</v>
      </c>
      <c r="O11" s="339">
        <v>0.970183304580443</v>
      </c>
      <c r="P11" s="320" t="s">
        <v>232</v>
      </c>
      <c r="Q11" s="339">
        <v>5.8778671435188101E-5</v>
      </c>
    </row>
    <row r="12" spans="2:18">
      <c r="B12" s="189" t="s">
        <v>145</v>
      </c>
      <c r="C12" s="249"/>
      <c r="D12" s="561">
        <v>199.99119999999999</v>
      </c>
      <c r="E12" s="561"/>
      <c r="F12" s="250"/>
      <c r="G12" s="251"/>
      <c r="H12" s="267"/>
      <c r="I12" s="274">
        <v>0.99718683458129398</v>
      </c>
      <c r="J12" s="307" t="s">
        <v>233</v>
      </c>
      <c r="K12" s="275">
        <v>3.1443548244018502E-6</v>
      </c>
      <c r="L12" s="274">
        <v>0.99719356857584696</v>
      </c>
      <c r="M12" s="307" t="s">
        <v>233</v>
      </c>
      <c r="N12" s="275">
        <v>3.2817641529347301E-6</v>
      </c>
      <c r="O12" s="337">
        <v>0.9971726850339</v>
      </c>
      <c r="P12" s="307" t="s">
        <v>233</v>
      </c>
      <c r="Q12" s="337">
        <v>2.9075560252315E-6</v>
      </c>
    </row>
    <row r="13" spans="2:18">
      <c r="B13" s="189" t="s">
        <v>146</v>
      </c>
      <c r="C13" s="249" t="s">
        <v>147</v>
      </c>
      <c r="D13" s="268">
        <v>15891</v>
      </c>
      <c r="E13" s="271">
        <f>ROUND(D13/SUM(D$13:D$14)*100, 1)</f>
        <v>39.9</v>
      </c>
      <c r="F13" s="250"/>
      <c r="G13" s="251"/>
      <c r="H13" s="267"/>
      <c r="I13" s="274">
        <v>1</v>
      </c>
      <c r="K13" s="275"/>
      <c r="L13" s="274">
        <v>1</v>
      </c>
      <c r="N13" s="275"/>
      <c r="O13" s="337">
        <v>1</v>
      </c>
      <c r="P13" s="307"/>
      <c r="Q13" s="337"/>
    </row>
    <row r="14" spans="2:18">
      <c r="C14" s="249" t="s">
        <v>64</v>
      </c>
      <c r="D14" s="268">
        <v>23968</v>
      </c>
      <c r="E14" s="271">
        <f t="shared" ref="E14:E32" si="1">ROUND(D14/SUM(D$9:D$10)*100, 1)</f>
        <v>60.1</v>
      </c>
      <c r="F14" s="250"/>
      <c r="G14" s="251"/>
      <c r="H14" s="267"/>
      <c r="I14" s="274">
        <v>0.91045519729123003</v>
      </c>
      <c r="J14" s="307" t="s">
        <v>286</v>
      </c>
      <c r="K14" s="275">
        <v>4.8405118169573901E-2</v>
      </c>
      <c r="L14" s="274">
        <v>0.90854331817885403</v>
      </c>
      <c r="M14" s="307" t="s">
        <v>260</v>
      </c>
      <c r="N14" s="275">
        <v>4.36221491840788E-2</v>
      </c>
      <c r="O14" s="337">
        <v>0.90947303045558303</v>
      </c>
      <c r="P14" s="307" t="s">
        <v>271</v>
      </c>
      <c r="Q14" s="337">
        <v>4.59997427975362E-2</v>
      </c>
    </row>
    <row r="15" spans="2:18">
      <c r="B15" s="256" t="s">
        <v>148</v>
      </c>
      <c r="C15" s="253" t="s">
        <v>23</v>
      </c>
      <c r="D15" s="319">
        <v>15108</v>
      </c>
      <c r="E15" s="271">
        <f t="shared" si="1"/>
        <v>37.9</v>
      </c>
      <c r="F15" s="257"/>
      <c r="G15" s="258"/>
      <c r="H15" s="266"/>
      <c r="I15" s="292">
        <v>1</v>
      </c>
      <c r="J15" s="320"/>
      <c r="K15" s="293"/>
      <c r="L15" s="292">
        <v>1</v>
      </c>
      <c r="M15" s="320"/>
      <c r="N15" s="293"/>
      <c r="O15" s="339">
        <v>1</v>
      </c>
      <c r="P15" s="320"/>
      <c r="Q15" s="339"/>
      <c r="R15" s="318"/>
    </row>
    <row r="16" spans="2:18">
      <c r="C16" s="249" t="s">
        <v>149</v>
      </c>
      <c r="D16" s="268">
        <v>24751</v>
      </c>
      <c r="E16" s="271">
        <f t="shared" si="1"/>
        <v>62.1</v>
      </c>
      <c r="F16" s="250"/>
      <c r="G16" s="251"/>
      <c r="H16" s="267"/>
      <c r="I16" s="274">
        <v>1.01461277087381</v>
      </c>
      <c r="J16" s="307" t="s">
        <v>287</v>
      </c>
      <c r="K16" s="275">
        <v>0.78238477198630296</v>
      </c>
      <c r="L16" s="274">
        <v>1.04061386457536</v>
      </c>
      <c r="M16" s="307" t="s">
        <v>261</v>
      </c>
      <c r="N16" s="275">
        <v>0.453456457503017</v>
      </c>
      <c r="O16" s="337">
        <v>1.0393741428151799</v>
      </c>
      <c r="P16" s="307" t="s">
        <v>272</v>
      </c>
      <c r="Q16" s="337">
        <v>0.475466506557364</v>
      </c>
    </row>
    <row r="17" spans="2:17">
      <c r="B17" s="189" t="s">
        <v>150</v>
      </c>
      <c r="C17" s="249">
        <v>0</v>
      </c>
      <c r="D17" s="268">
        <v>15954</v>
      </c>
      <c r="E17" s="271">
        <f t="shared" si="1"/>
        <v>40</v>
      </c>
      <c r="F17" s="250"/>
      <c r="G17" s="251"/>
      <c r="H17" s="267"/>
      <c r="I17" s="274">
        <v>1</v>
      </c>
      <c r="K17" s="275"/>
      <c r="L17" s="274">
        <v>1</v>
      </c>
      <c r="N17" s="275"/>
      <c r="O17" s="337">
        <v>1</v>
      </c>
      <c r="P17" s="307"/>
      <c r="Q17" s="337"/>
    </row>
    <row r="18" spans="2:17">
      <c r="C18" s="249">
        <v>1</v>
      </c>
      <c r="D18" s="268">
        <v>11582</v>
      </c>
      <c r="E18" s="271">
        <f t="shared" si="1"/>
        <v>29.1</v>
      </c>
      <c r="F18" s="250"/>
      <c r="G18" s="251"/>
      <c r="H18" s="267"/>
      <c r="I18" s="274">
        <v>1.1390556966338601</v>
      </c>
      <c r="J18" s="307" t="s">
        <v>288</v>
      </c>
      <c r="K18" s="275">
        <v>4.88760951617574E-2</v>
      </c>
      <c r="L18" s="274">
        <v>1.15867577165839</v>
      </c>
      <c r="M18" s="307" t="s">
        <v>262</v>
      </c>
      <c r="N18" s="275">
        <v>2.6466700364164701E-2</v>
      </c>
      <c r="O18" s="337">
        <v>1.15307844374545</v>
      </c>
      <c r="P18" s="307" t="s">
        <v>273</v>
      </c>
      <c r="Q18" s="337">
        <v>3.1931629798696202E-2</v>
      </c>
    </row>
    <row r="19" spans="2:17">
      <c r="C19" s="249">
        <v>2</v>
      </c>
      <c r="D19" s="268">
        <v>6730</v>
      </c>
      <c r="E19" s="271">
        <f t="shared" si="1"/>
        <v>16.899999999999999</v>
      </c>
      <c r="F19" s="250"/>
      <c r="G19" s="251"/>
      <c r="H19" s="267"/>
      <c r="I19" s="274">
        <v>1.6087067058723901</v>
      </c>
      <c r="J19" s="307" t="s">
        <v>289</v>
      </c>
      <c r="K19" s="275">
        <v>1.2988399546164299E-11</v>
      </c>
      <c r="L19" s="274">
        <v>1.6587324704689601</v>
      </c>
      <c r="M19" s="307" t="s">
        <v>263</v>
      </c>
      <c r="N19" s="275">
        <v>9.6842166880355508E-13</v>
      </c>
      <c r="O19" s="337">
        <v>1.64225106667542</v>
      </c>
      <c r="P19" s="307" t="s">
        <v>274</v>
      </c>
      <c r="Q19" s="337">
        <v>2.8542164814751201E-12</v>
      </c>
    </row>
    <row r="20" spans="2:17">
      <c r="B20" s="287"/>
      <c r="C20" s="288" t="s">
        <v>151</v>
      </c>
      <c r="D20" s="269">
        <v>5593</v>
      </c>
      <c r="E20" s="271">
        <f t="shared" si="1"/>
        <v>14</v>
      </c>
      <c r="F20" s="294"/>
      <c r="G20" s="295"/>
      <c r="H20" s="296"/>
      <c r="I20" s="290">
        <v>2.9907887131988802</v>
      </c>
      <c r="J20" s="307" t="s">
        <v>290</v>
      </c>
      <c r="K20" s="275">
        <v>2.24974453745822E-66</v>
      </c>
      <c r="L20" s="274">
        <v>3.0998106988326599</v>
      </c>
      <c r="M20" s="307" t="s">
        <v>264</v>
      </c>
      <c r="N20" s="275">
        <v>1.23227913155381E-68</v>
      </c>
      <c r="O20" s="337">
        <v>3.0655276289834301</v>
      </c>
      <c r="P20" s="307" t="s">
        <v>275</v>
      </c>
      <c r="Q20" s="337">
        <v>1.4633085464594101E-66</v>
      </c>
    </row>
    <row r="21" spans="2:17">
      <c r="B21" s="297" t="s">
        <v>227</v>
      </c>
      <c r="C21" s="249" t="s">
        <v>5</v>
      </c>
      <c r="D21" s="268">
        <v>4775</v>
      </c>
      <c r="E21" s="272">
        <f t="shared" si="1"/>
        <v>12</v>
      </c>
      <c r="F21" s="250"/>
      <c r="G21" s="251"/>
      <c r="H21" s="250"/>
      <c r="I21" s="309"/>
      <c r="J21" s="258"/>
      <c r="K21" s="266"/>
      <c r="L21" s="335">
        <v>1</v>
      </c>
      <c r="M21" s="320"/>
      <c r="N21" s="293"/>
      <c r="O21" s="256"/>
      <c r="P21" s="256"/>
      <c r="Q21" s="256"/>
    </row>
    <row r="22" spans="2:17">
      <c r="C22" s="249" t="s">
        <v>9</v>
      </c>
      <c r="D22" s="268">
        <v>19741</v>
      </c>
      <c r="E22" s="271">
        <f t="shared" si="1"/>
        <v>49.5</v>
      </c>
      <c r="F22" s="250"/>
      <c r="G22" s="251"/>
      <c r="H22" s="250"/>
      <c r="I22" s="298"/>
      <c r="J22" s="251"/>
      <c r="K22" s="267"/>
      <c r="L22" s="284">
        <v>0.95786288439589895</v>
      </c>
      <c r="M22" s="307" t="s">
        <v>265</v>
      </c>
      <c r="N22" s="285">
        <v>0.585608391172315</v>
      </c>
    </row>
    <row r="23" spans="2:17">
      <c r="C23" s="249" t="s">
        <v>142</v>
      </c>
      <c r="D23" s="268">
        <v>15343</v>
      </c>
      <c r="E23" s="271">
        <f t="shared" si="1"/>
        <v>38.5</v>
      </c>
      <c r="F23" s="299"/>
      <c r="G23" s="251"/>
      <c r="H23" s="299"/>
      <c r="I23" s="310"/>
      <c r="J23" s="251"/>
      <c r="K23" s="311"/>
      <c r="L23" s="284">
        <v>0.82184200916713002</v>
      </c>
      <c r="M23" s="307" t="s">
        <v>266</v>
      </c>
      <c r="N23" s="285">
        <v>1.8847835783387501E-2</v>
      </c>
    </row>
    <row r="24" spans="2:17">
      <c r="B24" s="300" t="s">
        <v>26</v>
      </c>
      <c r="C24" s="249" t="s">
        <v>5</v>
      </c>
      <c r="D24" s="268">
        <v>11382</v>
      </c>
      <c r="E24" s="271">
        <f t="shared" si="1"/>
        <v>28.6</v>
      </c>
      <c r="F24" s="299"/>
      <c r="G24" s="251"/>
      <c r="H24" s="299"/>
      <c r="I24" s="310"/>
      <c r="J24" s="251"/>
      <c r="K24" s="311"/>
      <c r="L24" s="314"/>
      <c r="M24" s="251"/>
      <c r="N24" s="315"/>
      <c r="O24" s="336">
        <v>1</v>
      </c>
      <c r="P24" s="307"/>
      <c r="Q24" s="337"/>
    </row>
    <row r="25" spans="2:17">
      <c r="B25" s="300"/>
      <c r="C25" s="249" t="s">
        <v>9</v>
      </c>
      <c r="D25" s="268">
        <v>23069</v>
      </c>
      <c r="E25" s="271">
        <f t="shared" si="1"/>
        <v>57.9</v>
      </c>
      <c r="F25" s="299"/>
      <c r="G25" s="251"/>
      <c r="H25" s="299"/>
      <c r="I25" s="310"/>
      <c r="J25" s="251"/>
      <c r="K25" s="311"/>
      <c r="L25" s="314"/>
      <c r="M25" s="251"/>
      <c r="N25" s="315"/>
      <c r="O25" s="336">
        <v>0.96632525827752902</v>
      </c>
      <c r="P25" s="307" t="s">
        <v>277</v>
      </c>
      <c r="Q25" s="336">
        <v>0.544622181629976</v>
      </c>
    </row>
    <row r="26" spans="2:17">
      <c r="B26" s="300"/>
      <c r="C26" s="249" t="s">
        <v>142</v>
      </c>
      <c r="D26" s="268">
        <v>5408</v>
      </c>
      <c r="E26" s="271">
        <f t="shared" si="1"/>
        <v>13.6</v>
      </c>
      <c r="F26" s="299"/>
      <c r="G26" s="251"/>
      <c r="H26" s="299"/>
      <c r="I26" s="310"/>
      <c r="J26" s="251"/>
      <c r="K26" s="311"/>
      <c r="L26" s="314"/>
      <c r="M26" s="251"/>
      <c r="N26" s="315"/>
      <c r="O26" s="336">
        <v>0.92145891675757496</v>
      </c>
      <c r="P26" s="307" t="s">
        <v>278</v>
      </c>
      <c r="Q26" s="336">
        <v>0.31184019412915998</v>
      </c>
    </row>
    <row r="27" spans="2:17">
      <c r="B27" s="300" t="s">
        <v>229</v>
      </c>
      <c r="C27" s="249" t="s">
        <v>5</v>
      </c>
      <c r="D27" s="268">
        <v>28257</v>
      </c>
      <c r="E27" s="271">
        <f t="shared" si="1"/>
        <v>70.900000000000006</v>
      </c>
      <c r="F27" s="299"/>
      <c r="G27" s="251"/>
      <c r="H27" s="299"/>
      <c r="I27" s="310"/>
      <c r="J27" s="251"/>
      <c r="K27" s="311"/>
      <c r="L27" s="314"/>
      <c r="M27" s="251"/>
      <c r="N27" s="315"/>
      <c r="O27" s="336">
        <v>1</v>
      </c>
      <c r="P27" s="307"/>
      <c r="Q27" s="336"/>
    </row>
    <row r="28" spans="2:17">
      <c r="B28" s="300"/>
      <c r="C28" s="249" t="s">
        <v>9</v>
      </c>
      <c r="D28" s="268">
        <v>4302</v>
      </c>
      <c r="E28" s="271">
        <f t="shared" si="1"/>
        <v>10.8</v>
      </c>
      <c r="F28" s="299"/>
      <c r="G28" s="251"/>
      <c r="H28" s="299"/>
      <c r="I28" s="310"/>
      <c r="J28" s="251"/>
      <c r="K28" s="311"/>
      <c r="L28" s="314"/>
      <c r="M28" s="251"/>
      <c r="N28" s="315"/>
      <c r="O28" s="336">
        <v>0.957237784383974</v>
      </c>
      <c r="P28" s="307" t="s">
        <v>279</v>
      </c>
      <c r="Q28" s="336">
        <v>0.55388345178034004</v>
      </c>
    </row>
    <row r="29" spans="2:17">
      <c r="B29" s="300"/>
      <c r="C29" s="249" t="s">
        <v>142</v>
      </c>
      <c r="D29" s="268">
        <v>7300</v>
      </c>
      <c r="E29" s="271">
        <f t="shared" si="1"/>
        <v>18.3</v>
      </c>
      <c r="F29" s="299"/>
      <c r="G29" s="251"/>
      <c r="H29" s="299"/>
      <c r="I29" s="310"/>
      <c r="J29" s="251"/>
      <c r="K29" s="311"/>
      <c r="L29" s="314"/>
      <c r="M29" s="251"/>
      <c r="N29" s="315"/>
      <c r="O29" s="336">
        <v>0.88620107230575895</v>
      </c>
      <c r="P29" s="307" t="s">
        <v>280</v>
      </c>
      <c r="Q29" s="336">
        <v>5.9741469517711802E-2</v>
      </c>
    </row>
    <row r="30" spans="2:17">
      <c r="B30" s="300" t="s">
        <v>239</v>
      </c>
      <c r="C30" s="249" t="s">
        <v>5</v>
      </c>
      <c r="D30" s="268">
        <v>13846</v>
      </c>
      <c r="E30" s="271">
        <f t="shared" si="1"/>
        <v>34.700000000000003</v>
      </c>
      <c r="F30" s="299"/>
      <c r="G30" s="251"/>
      <c r="H30" s="299"/>
      <c r="I30" s="310"/>
      <c r="J30" s="251"/>
      <c r="K30" s="311"/>
      <c r="L30" s="314"/>
      <c r="M30" s="251"/>
      <c r="N30" s="315"/>
      <c r="O30" s="336">
        <v>1</v>
      </c>
      <c r="P30" s="307"/>
      <c r="Q30" s="336"/>
    </row>
    <row r="31" spans="2:17">
      <c r="B31" s="300"/>
      <c r="C31" s="249" t="s">
        <v>9</v>
      </c>
      <c r="D31" s="268">
        <v>23061</v>
      </c>
      <c r="E31" s="271">
        <f t="shared" si="1"/>
        <v>57.9</v>
      </c>
      <c r="F31" s="299"/>
      <c r="G31" s="251"/>
      <c r="H31" s="299"/>
      <c r="I31" s="310"/>
      <c r="J31" s="251"/>
      <c r="K31" s="311"/>
      <c r="L31" s="314"/>
      <c r="M31" s="251"/>
      <c r="N31" s="315"/>
      <c r="O31" s="336">
        <v>0.95385716544496502</v>
      </c>
      <c r="P31" s="307" t="s">
        <v>281</v>
      </c>
      <c r="Q31" s="336">
        <v>0.38893769399752598</v>
      </c>
    </row>
    <row r="32" spans="2:17">
      <c r="B32" s="301"/>
      <c r="C32" s="302" t="s">
        <v>142</v>
      </c>
      <c r="D32" s="270">
        <v>2952</v>
      </c>
      <c r="E32" s="273">
        <f t="shared" si="1"/>
        <v>7.4</v>
      </c>
      <c r="F32" s="303"/>
      <c r="G32" s="304"/>
      <c r="H32" s="303"/>
      <c r="I32" s="312"/>
      <c r="J32" s="304"/>
      <c r="K32" s="313"/>
      <c r="L32" s="316"/>
      <c r="M32" s="304"/>
      <c r="N32" s="317"/>
      <c r="O32" s="340">
        <v>0.97645939913148105</v>
      </c>
      <c r="P32" s="305" t="s">
        <v>282</v>
      </c>
      <c r="Q32" s="340">
        <v>0.79611572665723995</v>
      </c>
    </row>
    <row r="33" spans="2:14" ht="17.399999999999999">
      <c r="B33" s="306" t="s">
        <v>243</v>
      </c>
      <c r="C33" s="306"/>
      <c r="D33" s="306"/>
      <c r="E33" s="306"/>
    </row>
    <row r="34" spans="2:14">
      <c r="B34" s="300" t="s">
        <v>138</v>
      </c>
      <c r="C34" s="300"/>
      <c r="D34" s="300"/>
      <c r="E34" s="300"/>
      <c r="F34" s="300"/>
      <c r="G34" s="308"/>
    </row>
    <row r="35" spans="2:14">
      <c r="B35" s="300" t="s">
        <v>206</v>
      </c>
      <c r="C35" s="300"/>
      <c r="D35" s="300"/>
      <c r="E35" s="300"/>
      <c r="F35" s="300"/>
      <c r="G35" s="308"/>
      <c r="H35" s="300"/>
      <c r="I35" s="300"/>
      <c r="J35" s="308"/>
      <c r="K35" s="300"/>
      <c r="L35" s="300"/>
      <c r="M35" s="308"/>
      <c r="N35" s="300"/>
    </row>
    <row r="36" spans="2:14">
      <c r="B36" s="300" t="s">
        <v>205</v>
      </c>
      <c r="C36" s="300"/>
      <c r="D36" s="300"/>
      <c r="E36" s="300"/>
      <c r="F36" s="300"/>
      <c r="G36" s="308"/>
      <c r="H36" s="300"/>
      <c r="I36" s="300"/>
      <c r="J36" s="308"/>
      <c r="K36" s="300"/>
      <c r="L36" s="300"/>
      <c r="M36" s="308"/>
      <c r="N36" s="300"/>
    </row>
  </sheetData>
  <mergeCells count="6">
    <mergeCell ref="O2:Q2"/>
    <mergeCell ref="D11:E11"/>
    <mergeCell ref="D12:E12"/>
    <mergeCell ref="F2:H2"/>
    <mergeCell ref="I2:K2"/>
    <mergeCell ref="L2:N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8"/>
  <sheetViews>
    <sheetView tabSelected="1" topLeftCell="A2" zoomScaleNormal="100" workbookViewId="0">
      <selection activeCell="B5" sqref="B5:N12"/>
    </sheetView>
  </sheetViews>
  <sheetFormatPr defaultColWidth="8.77734375" defaultRowHeight="16.95" customHeight="1"/>
  <cols>
    <col min="1" max="1" width="5.6640625" style="1" customWidth="1"/>
    <col min="2" max="2" width="1.21875" style="1" customWidth="1"/>
    <col min="3" max="3" width="17.77734375" style="28" customWidth="1"/>
    <col min="4" max="5" width="6.6640625" style="1" customWidth="1"/>
    <col min="6" max="6" width="7.6640625" style="1" customWidth="1"/>
    <col min="7" max="7" width="13.6640625" style="41" customWidth="1"/>
    <col min="8" max="9" width="7.6640625" style="1" customWidth="1"/>
    <col min="10" max="10" width="13.6640625" style="41" customWidth="1"/>
    <col min="11" max="12" width="7.6640625" style="1" customWidth="1"/>
    <col min="13" max="13" width="13.6640625" style="41" customWidth="1"/>
    <col min="14" max="14" width="7.6640625" style="1" customWidth="1"/>
    <col min="15" max="15" width="9.77734375" style="1" customWidth="1"/>
    <col min="16" max="16" width="10.77734375" style="1" customWidth="1"/>
    <col min="17" max="16384" width="8.77734375" style="1"/>
  </cols>
  <sheetData>
    <row r="1" spans="1:17" ht="16.95" customHeight="1">
      <c r="B1" s="165" t="s">
        <v>134</v>
      </c>
      <c r="C1" s="166"/>
      <c r="D1" s="15"/>
      <c r="E1" s="15"/>
      <c r="F1" s="15"/>
      <c r="G1" s="167"/>
      <c r="H1" s="15"/>
      <c r="I1" s="15"/>
      <c r="J1" s="167"/>
      <c r="K1" s="15"/>
    </row>
    <row r="2" spans="1:17" s="17" customFormat="1" ht="17.100000000000001" customHeight="1">
      <c r="B2" s="156" t="s">
        <v>135</v>
      </c>
      <c r="C2" s="156"/>
      <c r="D2" s="156"/>
      <c r="E2" s="156"/>
      <c r="F2" s="156"/>
      <c r="G2" s="168"/>
      <c r="H2" s="156"/>
      <c r="I2" s="156"/>
      <c r="J2" s="168"/>
      <c r="K2" s="156"/>
      <c r="M2" s="151"/>
    </row>
    <row r="3" spans="1:17" s="17" customFormat="1" ht="17.100000000000001" customHeight="1">
      <c r="B3" s="112"/>
      <c r="C3" s="141"/>
      <c r="D3" s="564" t="s">
        <v>208</v>
      </c>
      <c r="E3" s="564"/>
      <c r="F3" s="564" t="s">
        <v>16</v>
      </c>
      <c r="G3" s="564"/>
      <c r="H3" s="564"/>
      <c r="I3" s="564" t="s">
        <v>17</v>
      </c>
      <c r="J3" s="564"/>
      <c r="K3" s="564"/>
      <c r="L3" s="564" t="s">
        <v>18</v>
      </c>
      <c r="M3" s="564"/>
      <c r="N3" s="564"/>
      <c r="O3" s="564" t="s">
        <v>228</v>
      </c>
      <c r="P3" s="564"/>
      <c r="Q3" s="564"/>
    </row>
    <row r="4" spans="1:17" s="17" customFormat="1" ht="17.100000000000001" customHeight="1" thickBot="1">
      <c r="B4" s="142"/>
      <c r="C4" s="142"/>
      <c r="D4" s="18" t="s">
        <v>3</v>
      </c>
      <c r="E4" s="18" t="s">
        <v>4</v>
      </c>
      <c r="F4" s="18" t="s">
        <v>99</v>
      </c>
      <c r="G4" s="18" t="s">
        <v>98</v>
      </c>
      <c r="H4" s="19" t="s">
        <v>19</v>
      </c>
      <c r="I4" s="18" t="s">
        <v>20</v>
      </c>
      <c r="J4" s="18" t="s">
        <v>21</v>
      </c>
      <c r="K4" s="19" t="s">
        <v>19</v>
      </c>
      <c r="L4" s="18" t="s">
        <v>20</v>
      </c>
      <c r="M4" s="18" t="s">
        <v>21</v>
      </c>
      <c r="N4" s="19" t="s">
        <v>19</v>
      </c>
      <c r="O4" s="18" t="s">
        <v>20</v>
      </c>
      <c r="P4" s="18" t="s">
        <v>21</v>
      </c>
      <c r="Q4" s="19" t="s">
        <v>19</v>
      </c>
    </row>
    <row r="5" spans="1:17" s="17" customFormat="1" ht="17.100000000000001" customHeight="1" thickTop="1">
      <c r="B5" s="20" t="s">
        <v>22</v>
      </c>
      <c r="C5" s="21"/>
      <c r="D5" s="22"/>
      <c r="E5" s="22"/>
      <c r="F5" s="22"/>
      <c r="G5" s="23"/>
      <c r="H5" s="24"/>
      <c r="I5" s="22"/>
      <c r="J5" s="23"/>
      <c r="K5" s="22"/>
      <c r="L5" s="25"/>
      <c r="M5" s="23"/>
      <c r="N5" s="24"/>
      <c r="O5" s="25"/>
      <c r="P5" s="23"/>
      <c r="Q5" s="24"/>
    </row>
    <row r="6" spans="1:17" s="27" customFormat="1" ht="17.100000000000001" customHeight="1">
      <c r="A6" s="17"/>
      <c r="B6" s="20"/>
      <c r="C6" s="29" t="s">
        <v>35</v>
      </c>
      <c r="D6" s="21">
        <v>26219</v>
      </c>
      <c r="E6" s="143">
        <f>ROUND(D6/SUM(D$6:D$8)*100, 1)</f>
        <v>65.8</v>
      </c>
      <c r="F6" s="144">
        <v>1</v>
      </c>
      <c r="G6" s="139"/>
      <c r="H6" s="113"/>
      <c r="I6" s="144">
        <v>1</v>
      </c>
      <c r="J6" s="139"/>
      <c r="K6" s="113"/>
      <c r="L6" s="144">
        <v>1</v>
      </c>
      <c r="M6" s="139"/>
      <c r="N6" s="113"/>
      <c r="O6" s="144">
        <v>1</v>
      </c>
      <c r="P6" s="139"/>
      <c r="Q6" s="113"/>
    </row>
    <row r="7" spans="1:17" s="27" customFormat="1" ht="17.100000000000001" customHeight="1">
      <c r="B7" s="26"/>
      <c r="C7" s="29" t="s">
        <v>24</v>
      </c>
      <c r="D7" s="113">
        <v>4991</v>
      </c>
      <c r="E7" s="143">
        <f>ROUND(D7/SUM(D$6:D$8)*100, 1)</f>
        <v>12.5</v>
      </c>
      <c r="F7" s="144">
        <v>1.30142708792342</v>
      </c>
      <c r="G7" s="139" t="s">
        <v>295</v>
      </c>
      <c r="H7" s="144">
        <v>5.2215644406426601E-4</v>
      </c>
      <c r="I7" s="144">
        <v>1.3602153675023301</v>
      </c>
      <c r="J7" s="139" t="s">
        <v>306</v>
      </c>
      <c r="K7" s="144">
        <v>5.1945602576931703E-5</v>
      </c>
      <c r="L7" s="144">
        <v>1.3520202600161</v>
      </c>
      <c r="M7" s="139" t="s">
        <v>318</v>
      </c>
      <c r="N7" s="144">
        <v>7.4295247084278404E-5</v>
      </c>
      <c r="O7" s="144">
        <v>1.32554953297387</v>
      </c>
      <c r="P7" s="139" t="s">
        <v>334</v>
      </c>
      <c r="Q7" s="144">
        <v>2.2734331625081299E-4</v>
      </c>
    </row>
    <row r="8" spans="1:17" s="27" customFormat="1" ht="17.100000000000001" customHeight="1">
      <c r="B8" s="26"/>
      <c r="C8" s="29" t="s">
        <v>25</v>
      </c>
      <c r="D8" s="104">
        <v>8649</v>
      </c>
      <c r="E8" s="143">
        <f>ROUND(D8/SUM(D$6:D$8)*100, 1)</f>
        <v>21.7</v>
      </c>
      <c r="F8" s="144">
        <v>1.11262909303366</v>
      </c>
      <c r="G8" s="139" t="s">
        <v>292</v>
      </c>
      <c r="H8" s="144">
        <v>0.13143683046315</v>
      </c>
      <c r="I8" s="144">
        <v>1.2201995884190899</v>
      </c>
      <c r="J8" s="139" t="s">
        <v>296</v>
      </c>
      <c r="K8" s="144">
        <v>5.1990849608308598E-3</v>
      </c>
      <c r="L8" s="144">
        <v>1.2244510932820101</v>
      </c>
      <c r="M8" s="139" t="s">
        <v>307</v>
      </c>
      <c r="N8" s="144">
        <v>4.4853525870733896E-3</v>
      </c>
      <c r="O8" s="144">
        <v>1.21790399449534</v>
      </c>
      <c r="P8" s="139" t="s">
        <v>319</v>
      </c>
      <c r="Q8" s="144">
        <v>5.9256952375617601E-3</v>
      </c>
    </row>
    <row r="9" spans="1:17" s="27" customFormat="1" ht="17.100000000000001" customHeight="1">
      <c r="B9" s="113" t="s">
        <v>227</v>
      </c>
      <c r="C9" s="29"/>
      <c r="D9" s="145"/>
      <c r="E9" s="146"/>
      <c r="F9" s="144"/>
      <c r="G9" s="31"/>
      <c r="H9" s="32"/>
      <c r="I9" s="32"/>
      <c r="J9" s="31"/>
      <c r="K9" s="106"/>
      <c r="L9" s="30"/>
      <c r="M9" s="31"/>
      <c r="N9" s="32"/>
      <c r="O9" s="30"/>
      <c r="P9" s="31"/>
      <c r="Q9" s="32"/>
    </row>
    <row r="10" spans="1:17" s="27" customFormat="1" ht="17.100000000000001" customHeight="1">
      <c r="B10" s="26"/>
      <c r="C10" s="29" t="s">
        <v>23</v>
      </c>
      <c r="D10" s="113">
        <v>4775</v>
      </c>
      <c r="E10" s="143">
        <f>ROUND(D10/SUM(D$10:D$12)*100, 1)</f>
        <v>12</v>
      </c>
      <c r="F10" s="30"/>
      <c r="G10" s="31"/>
      <c r="H10" s="32"/>
      <c r="I10" s="32"/>
      <c r="J10" s="31"/>
      <c r="K10" s="106"/>
      <c r="L10" s="144">
        <v>1</v>
      </c>
      <c r="M10" s="139"/>
      <c r="N10" s="144"/>
      <c r="O10" s="144"/>
      <c r="P10" s="139"/>
      <c r="Q10" s="144"/>
    </row>
    <row r="11" spans="1:17" s="27" customFormat="1" ht="17.100000000000001" customHeight="1">
      <c r="B11" s="26"/>
      <c r="C11" s="29" t="s">
        <v>27</v>
      </c>
      <c r="D11" s="113">
        <v>19741</v>
      </c>
      <c r="E11" s="143">
        <f>ROUND(D11/SUM(D$10:D$12)*100, 1)</f>
        <v>49.5</v>
      </c>
      <c r="F11" s="30"/>
      <c r="G11" s="31"/>
      <c r="H11" s="32"/>
      <c r="I11" s="32"/>
      <c r="J11" s="31"/>
      <c r="K11" s="106"/>
      <c r="L11" s="144">
        <v>0.83598789834437504</v>
      </c>
      <c r="M11" s="139" t="s">
        <v>316</v>
      </c>
      <c r="N11" s="144">
        <v>3.93874422627511E-2</v>
      </c>
      <c r="O11" s="144"/>
      <c r="P11" s="139"/>
      <c r="Q11" s="144"/>
    </row>
    <row r="12" spans="1:17" s="17" customFormat="1" ht="17.100000000000001" customHeight="1">
      <c r="A12" s="27"/>
      <c r="B12" s="26"/>
      <c r="C12" s="29" t="s">
        <v>10</v>
      </c>
      <c r="D12" s="113">
        <v>15343</v>
      </c>
      <c r="E12" s="143">
        <f>ROUND(D12/SUM(D$10:D$12)*100, 1)</f>
        <v>38.5</v>
      </c>
      <c r="F12" s="30"/>
      <c r="G12" s="31"/>
      <c r="H12" s="32"/>
      <c r="I12" s="32"/>
      <c r="J12" s="31"/>
      <c r="K12" s="106"/>
      <c r="L12" s="144">
        <v>0.81028563911246798</v>
      </c>
      <c r="M12" s="139" t="s">
        <v>317</v>
      </c>
      <c r="N12" s="144">
        <v>1.9908268724176802E-2</v>
      </c>
      <c r="O12" s="144"/>
      <c r="P12" s="139"/>
      <c r="Q12" s="144"/>
    </row>
    <row r="13" spans="1:17" s="17" customFormat="1" ht="17.100000000000001" customHeight="1">
      <c r="A13" s="27"/>
      <c r="B13" s="113" t="s">
        <v>26</v>
      </c>
      <c r="C13" s="29"/>
      <c r="D13" s="113"/>
      <c r="E13" s="143"/>
      <c r="F13" s="30"/>
      <c r="G13" s="31"/>
      <c r="H13" s="32"/>
      <c r="I13" s="32"/>
      <c r="J13" s="31"/>
      <c r="K13" s="106"/>
      <c r="L13" s="144"/>
      <c r="M13" s="139"/>
      <c r="N13" s="144"/>
      <c r="O13" s="144"/>
      <c r="P13" s="139"/>
      <c r="Q13" s="144"/>
    </row>
    <row r="14" spans="1:17" s="17" customFormat="1" ht="17.100000000000001" customHeight="1">
      <c r="A14" s="27"/>
      <c r="B14" s="26"/>
      <c r="C14" s="29" t="s">
        <v>23</v>
      </c>
      <c r="D14" s="113">
        <v>11382</v>
      </c>
      <c r="E14" s="143">
        <f>ROUND(D14/SUM(D$10:D$12)*100, 1)</f>
        <v>28.6</v>
      </c>
      <c r="F14" s="30"/>
      <c r="G14" s="31"/>
      <c r="H14" s="32"/>
      <c r="I14" s="32"/>
      <c r="J14" s="31"/>
      <c r="K14" s="106"/>
      <c r="L14" s="144"/>
      <c r="M14" s="139"/>
      <c r="N14" s="144"/>
      <c r="O14" s="144">
        <v>1</v>
      </c>
      <c r="P14" s="139"/>
      <c r="Q14" s="144"/>
    </row>
    <row r="15" spans="1:17" s="17" customFormat="1" ht="17.100000000000001" customHeight="1">
      <c r="A15" s="27"/>
      <c r="B15" s="26"/>
      <c r="C15" s="29" t="s">
        <v>27</v>
      </c>
      <c r="D15" s="113">
        <v>23069</v>
      </c>
      <c r="E15" s="143">
        <f>ROUND(D15/SUM(D$10:D$12)*100, 1)</f>
        <v>57.9</v>
      </c>
      <c r="F15" s="30"/>
      <c r="G15" s="31"/>
      <c r="H15" s="32"/>
      <c r="I15" s="32"/>
      <c r="J15" s="31"/>
      <c r="K15" s="106"/>
      <c r="L15" s="144"/>
      <c r="M15" s="139"/>
      <c r="N15" s="144"/>
      <c r="O15" s="144">
        <v>0.83898112277019499</v>
      </c>
      <c r="P15" s="139" t="s">
        <v>328</v>
      </c>
      <c r="Q15" s="144">
        <v>3.8055138490505E-3</v>
      </c>
    </row>
    <row r="16" spans="1:17" s="17" customFormat="1" ht="17.100000000000001" customHeight="1">
      <c r="A16" s="27"/>
      <c r="B16" s="26"/>
      <c r="C16" s="29" t="s">
        <v>10</v>
      </c>
      <c r="D16" s="113">
        <v>5408</v>
      </c>
      <c r="E16" s="143">
        <f>ROUND(D16/SUM(D$10:D$12)*100, 1)</f>
        <v>13.6</v>
      </c>
      <c r="F16" s="30"/>
      <c r="G16" s="31"/>
      <c r="H16" s="32"/>
      <c r="I16" s="32"/>
      <c r="J16" s="31"/>
      <c r="K16" s="106"/>
      <c r="L16" s="144"/>
      <c r="M16" s="139"/>
      <c r="N16" s="144"/>
      <c r="O16" s="144">
        <v>0.86309800648161605</v>
      </c>
      <c r="P16" s="139" t="s">
        <v>329</v>
      </c>
      <c r="Q16" s="144">
        <v>8.5740217078524195E-2</v>
      </c>
    </row>
    <row r="17" spans="1:17" s="17" customFormat="1" ht="17.100000000000001" customHeight="1">
      <c r="A17" s="27"/>
      <c r="B17" s="113" t="s">
        <v>229</v>
      </c>
      <c r="C17" s="29"/>
      <c r="D17" s="113"/>
      <c r="E17" s="143"/>
      <c r="F17" s="30"/>
      <c r="G17" s="31"/>
      <c r="H17" s="32"/>
      <c r="I17" s="32"/>
      <c r="J17" s="31"/>
      <c r="K17" s="106"/>
      <c r="L17" s="144"/>
      <c r="M17" s="139"/>
      <c r="N17" s="144"/>
    </row>
    <row r="18" spans="1:17" s="17" customFormat="1" ht="17.100000000000001" customHeight="1">
      <c r="A18" s="27"/>
      <c r="B18" s="26"/>
      <c r="C18" s="29" t="s">
        <v>23</v>
      </c>
      <c r="D18" s="113">
        <v>28257</v>
      </c>
      <c r="E18" s="143">
        <f>ROUND(D18/SUM(D$10:D$12)*100, 1)</f>
        <v>70.900000000000006</v>
      </c>
      <c r="F18" s="30"/>
      <c r="G18" s="31"/>
      <c r="H18" s="32"/>
      <c r="I18" s="32"/>
      <c r="J18" s="31"/>
      <c r="K18" s="106"/>
      <c r="L18" s="144"/>
      <c r="M18" s="139"/>
      <c r="N18" s="144"/>
      <c r="O18" s="341">
        <v>1</v>
      </c>
      <c r="Q18" s="341"/>
    </row>
    <row r="19" spans="1:17" s="17" customFormat="1" ht="17.100000000000001" customHeight="1">
      <c r="A19" s="27"/>
      <c r="B19" s="26"/>
      <c r="C19" s="29" t="s">
        <v>27</v>
      </c>
      <c r="D19" s="113">
        <v>4302</v>
      </c>
      <c r="E19" s="143">
        <f>ROUND(D19/SUM(D$10:D$12)*100, 1)</f>
        <v>10.8</v>
      </c>
      <c r="F19" s="30"/>
      <c r="G19" s="31"/>
      <c r="H19" s="32"/>
      <c r="I19" s="32"/>
      <c r="J19" s="31"/>
      <c r="K19" s="106"/>
      <c r="L19" s="144"/>
      <c r="M19" s="139"/>
      <c r="N19" s="144"/>
      <c r="O19" s="144">
        <v>1.17687885818175</v>
      </c>
      <c r="P19" s="139" t="s">
        <v>330</v>
      </c>
      <c r="Q19" s="144">
        <v>2.7436955494884101E-2</v>
      </c>
    </row>
    <row r="20" spans="1:17" s="17" customFormat="1" ht="17.100000000000001" customHeight="1">
      <c r="A20" s="27"/>
      <c r="B20" s="26"/>
      <c r="C20" s="29" t="s">
        <v>10</v>
      </c>
      <c r="D20" s="113">
        <v>7300</v>
      </c>
      <c r="E20" s="143">
        <f>ROUND(D20/SUM(D$10:D$12)*100, 1)</f>
        <v>18.3</v>
      </c>
      <c r="F20" s="30"/>
      <c r="G20" s="31"/>
      <c r="H20" s="32"/>
      <c r="I20" s="32"/>
      <c r="J20" s="31"/>
      <c r="K20" s="106"/>
      <c r="L20" s="144"/>
      <c r="M20" s="139"/>
      <c r="N20" s="144"/>
      <c r="O20" s="144">
        <v>0.99936742563580605</v>
      </c>
      <c r="P20" s="139" t="s">
        <v>331</v>
      </c>
      <c r="Q20" s="144">
        <v>0.99250629688474901</v>
      </c>
    </row>
    <row r="21" spans="1:17" s="17" customFormat="1" ht="17.100000000000001" customHeight="1">
      <c r="A21" s="27"/>
      <c r="B21" s="175" t="s">
        <v>239</v>
      </c>
      <c r="C21" s="29"/>
      <c r="D21" s="113"/>
      <c r="E21" s="143"/>
      <c r="F21" s="30"/>
      <c r="G21" s="31"/>
      <c r="H21" s="32"/>
      <c r="I21" s="32"/>
      <c r="J21" s="31"/>
      <c r="K21" s="106"/>
      <c r="L21" s="144"/>
      <c r="M21" s="139"/>
      <c r="N21" s="144"/>
    </row>
    <row r="22" spans="1:17" s="17" customFormat="1" ht="17.100000000000001" customHeight="1">
      <c r="A22" s="27"/>
      <c r="B22" s="26"/>
      <c r="C22" s="29" t="s">
        <v>23</v>
      </c>
      <c r="D22" s="113">
        <v>13846</v>
      </c>
      <c r="E22" s="143">
        <f>ROUND(D22/SUM(D$10:D$12)*100, 1)</f>
        <v>34.700000000000003</v>
      </c>
      <c r="F22" s="30"/>
      <c r="G22" s="31"/>
      <c r="H22" s="32"/>
      <c r="I22" s="32"/>
      <c r="J22" s="31"/>
      <c r="K22" s="106"/>
      <c r="L22" s="144"/>
      <c r="M22" s="139"/>
      <c r="N22" s="144"/>
      <c r="O22" s="144">
        <v>1</v>
      </c>
      <c r="P22" s="139"/>
      <c r="Q22" s="144"/>
    </row>
    <row r="23" spans="1:17" s="17" customFormat="1" ht="17.100000000000001" customHeight="1">
      <c r="A23" s="27"/>
      <c r="B23" s="26"/>
      <c r="C23" s="29" t="s">
        <v>27</v>
      </c>
      <c r="D23" s="113">
        <v>23061</v>
      </c>
      <c r="E23" s="143">
        <f>ROUND(D23/SUM(D$10:D$12)*100, 1)</f>
        <v>57.9</v>
      </c>
      <c r="F23" s="30"/>
      <c r="G23" s="31"/>
      <c r="H23" s="32"/>
      <c r="I23" s="32"/>
      <c r="J23" s="31"/>
      <c r="K23" s="106"/>
      <c r="L23" s="144"/>
      <c r="M23" s="139"/>
      <c r="N23" s="144"/>
      <c r="O23" s="341">
        <v>0.80362599218709596</v>
      </c>
      <c r="P23" s="17" t="s">
        <v>332</v>
      </c>
      <c r="Q23" s="341">
        <v>2.3674406521968799E-4</v>
      </c>
    </row>
    <row r="24" spans="1:17" s="17" customFormat="1" ht="17.100000000000001" customHeight="1">
      <c r="A24" s="27"/>
      <c r="B24" s="105"/>
      <c r="C24" s="147" t="s">
        <v>10</v>
      </c>
      <c r="D24" s="148">
        <v>2952</v>
      </c>
      <c r="E24" s="149">
        <f>ROUND(D24/SUM(D$10:D$12)*100, 1)</f>
        <v>7.4</v>
      </c>
      <c r="F24" s="107"/>
      <c r="G24" s="108"/>
      <c r="H24" s="109"/>
      <c r="I24" s="109"/>
      <c r="J24" s="108"/>
      <c r="K24" s="110"/>
      <c r="L24" s="150"/>
      <c r="M24" s="140"/>
      <c r="N24" s="150"/>
      <c r="O24" s="150">
        <v>1.07163419219732</v>
      </c>
      <c r="P24" s="140" t="s">
        <v>333</v>
      </c>
      <c r="Q24" s="150">
        <v>0.449620029450092</v>
      </c>
    </row>
    <row r="25" spans="1:17" s="17" customFormat="1" ht="17.100000000000001" customHeight="1">
      <c r="A25" s="37"/>
      <c r="B25" s="134" t="s">
        <v>100</v>
      </c>
      <c r="C25" s="35"/>
      <c r="D25" s="35"/>
      <c r="E25" s="35"/>
      <c r="F25" s="35"/>
      <c r="G25" s="36"/>
      <c r="H25" s="35"/>
      <c r="I25" s="35"/>
      <c r="J25" s="36"/>
      <c r="K25" s="35"/>
      <c r="L25" s="35"/>
      <c r="M25" s="36"/>
      <c r="N25" s="35"/>
    </row>
    <row r="26" spans="1:17" s="17" customFormat="1" ht="17.100000000000001" customHeight="1">
      <c r="A26" s="37"/>
      <c r="B26" s="35" t="s">
        <v>30</v>
      </c>
      <c r="C26" s="35"/>
      <c r="D26" s="35"/>
      <c r="E26" s="35"/>
      <c r="F26" s="35"/>
      <c r="G26" s="36"/>
      <c r="H26" s="35"/>
      <c r="I26" s="35"/>
      <c r="J26" s="36"/>
      <c r="K26" s="35"/>
      <c r="L26" s="35"/>
      <c r="M26" s="36"/>
      <c r="N26" s="35"/>
    </row>
    <row r="27" spans="1:17" s="17" customFormat="1" ht="17.100000000000001" customHeight="1">
      <c r="A27" s="37"/>
      <c r="B27" s="38" t="s">
        <v>31</v>
      </c>
      <c r="C27" s="38"/>
      <c r="D27" s="38"/>
      <c r="E27" s="38"/>
      <c r="F27" s="38"/>
      <c r="G27" s="39"/>
      <c r="H27" s="38"/>
      <c r="I27" s="38"/>
      <c r="J27" s="39"/>
      <c r="K27" s="38"/>
      <c r="L27" s="38"/>
      <c r="M27" s="39"/>
      <c r="N27" s="38"/>
    </row>
    <row r="28" spans="1:17" s="17" customFormat="1" ht="17.100000000000001" customHeight="1">
      <c r="A28" s="37"/>
      <c r="B28" s="38" t="s">
        <v>32</v>
      </c>
      <c r="C28" s="38"/>
      <c r="D28" s="38"/>
      <c r="E28" s="38"/>
      <c r="F28" s="38"/>
      <c r="G28" s="39"/>
      <c r="H28" s="38"/>
      <c r="I28" s="38"/>
      <c r="J28" s="39"/>
      <c r="K28" s="38"/>
      <c r="L28" s="38"/>
      <c r="M28" s="39"/>
      <c r="N28" s="38"/>
    </row>
    <row r="29" spans="1:17" s="17" customFormat="1" ht="17.100000000000001" customHeight="1">
      <c r="A29" s="1"/>
      <c r="B29" s="1"/>
      <c r="C29" s="28"/>
      <c r="D29" s="40"/>
      <c r="E29" s="1"/>
      <c r="F29" s="1"/>
      <c r="G29" s="41"/>
      <c r="H29" s="1"/>
      <c r="I29" s="1"/>
      <c r="J29" s="41"/>
      <c r="K29" s="1"/>
      <c r="L29" s="1"/>
      <c r="M29" s="41"/>
      <c r="N29" s="1"/>
    </row>
    <row r="30" spans="1:17" s="17" customFormat="1" ht="17.100000000000001" customHeight="1">
      <c r="A30" s="1"/>
      <c r="B30" s="1"/>
      <c r="C30" s="28"/>
      <c r="D30" s="1"/>
      <c r="E30" s="9"/>
      <c r="F30" s="9"/>
      <c r="G30" s="111"/>
      <c r="H30" s="1"/>
      <c r="I30" s="1"/>
      <c r="J30" s="41"/>
      <c r="K30" s="1"/>
      <c r="L30" s="1"/>
      <c r="M30" s="41"/>
      <c r="N30" s="1"/>
    </row>
    <row r="31" spans="1:17" s="17" customFormat="1" ht="17.100000000000001" customHeight="1">
      <c r="A31" s="1"/>
      <c r="B31" s="1"/>
      <c r="C31" s="28"/>
      <c r="D31" s="1"/>
      <c r="E31" s="1"/>
      <c r="F31" s="1"/>
      <c r="G31" s="41"/>
      <c r="H31" s="1"/>
      <c r="I31" s="1"/>
      <c r="J31" s="41"/>
      <c r="K31" s="1"/>
      <c r="L31" s="1"/>
      <c r="M31" s="41"/>
      <c r="N31" s="1"/>
    </row>
    <row r="32" spans="1:17" s="37" customFormat="1" ht="13.8">
      <c r="A32" s="1"/>
      <c r="B32" s="1"/>
      <c r="C32" s="28"/>
      <c r="D32" s="1"/>
      <c r="E32" s="1"/>
      <c r="F32" s="1"/>
      <c r="G32" s="41"/>
      <c r="H32" s="1"/>
      <c r="I32" s="1"/>
      <c r="J32" s="41"/>
      <c r="K32" s="1"/>
      <c r="L32" s="1"/>
      <c r="M32" s="41"/>
      <c r="N32" s="1"/>
    </row>
    <row r="33" spans="1:14" s="37" customFormat="1" ht="13.8">
      <c r="A33" s="1"/>
      <c r="B33" s="1"/>
      <c r="C33" s="28"/>
      <c r="D33" s="1"/>
      <c r="E33" s="1"/>
      <c r="F33" s="1"/>
      <c r="G33" s="41"/>
      <c r="H33" s="1"/>
      <c r="I33" s="1"/>
      <c r="J33" s="41"/>
      <c r="K33" s="1"/>
      <c r="L33" s="1"/>
      <c r="M33" s="41"/>
      <c r="N33" s="1"/>
    </row>
    <row r="34" spans="1:14" s="37" customFormat="1" ht="13.8">
      <c r="A34" s="1"/>
      <c r="B34" s="1"/>
      <c r="C34" s="28"/>
      <c r="D34" s="1"/>
      <c r="E34" s="1"/>
      <c r="F34" s="1"/>
      <c r="G34" s="41"/>
      <c r="H34" s="1"/>
      <c r="I34" s="1"/>
      <c r="J34" s="41"/>
      <c r="K34" s="1"/>
      <c r="L34" s="1"/>
      <c r="M34" s="41"/>
      <c r="N34" s="1"/>
    </row>
    <row r="35" spans="1:14" s="37" customFormat="1" ht="13.8">
      <c r="A35" s="1"/>
      <c r="B35" s="1"/>
      <c r="C35" s="28"/>
      <c r="D35" s="1"/>
      <c r="E35" s="1"/>
      <c r="F35" s="1"/>
      <c r="G35" s="41"/>
      <c r="H35" s="1"/>
      <c r="I35" s="1"/>
      <c r="J35" s="41"/>
      <c r="K35" s="1"/>
      <c r="L35" s="1"/>
      <c r="M35" s="41"/>
      <c r="N35" s="1"/>
    </row>
    <row r="36" spans="1:14" ht="13.8"/>
    <row r="38" spans="1:14" ht="13.8"/>
  </sheetData>
  <mergeCells count="5">
    <mergeCell ref="D3:E3"/>
    <mergeCell ref="F3:H3"/>
    <mergeCell ref="I3:K3"/>
    <mergeCell ref="L3:N3"/>
    <mergeCell ref="O3:Q3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R36"/>
  <sheetViews>
    <sheetView zoomScaleNormal="100" workbookViewId="0">
      <selection activeCell="I45" sqref="I45"/>
    </sheetView>
  </sheetViews>
  <sheetFormatPr defaultColWidth="9" defaultRowHeight="15.6"/>
  <cols>
    <col min="1" max="1" width="9" style="189"/>
    <col min="2" max="2" width="21" style="189" customWidth="1"/>
    <col min="3" max="3" width="11.88671875" style="189" bestFit="1" customWidth="1"/>
    <col min="4" max="5" width="7" style="189" customWidth="1"/>
    <col min="6" max="6" width="8.6640625" style="189" customWidth="1"/>
    <col min="7" max="7" width="13.33203125" style="307" customWidth="1"/>
    <col min="8" max="9" width="8.6640625" style="189" customWidth="1"/>
    <col min="10" max="10" width="12.6640625" style="307" bestFit="1" customWidth="1"/>
    <col min="11" max="12" width="8.6640625" style="189" customWidth="1"/>
    <col min="13" max="13" width="12.6640625" style="307" bestFit="1" customWidth="1"/>
    <col min="14" max="14" width="8.6640625" style="189" customWidth="1"/>
    <col min="15" max="15" width="9" style="189"/>
    <col min="16" max="16" width="13.88671875" style="189" customWidth="1"/>
    <col min="17" max="17" width="7.77734375" style="189" customWidth="1"/>
    <col min="18" max="16384" width="9" style="189"/>
  </cols>
  <sheetData>
    <row r="2" spans="2:18" ht="17.399999999999999" customHeight="1">
      <c r="B2" s="276"/>
      <c r="C2" s="276"/>
      <c r="D2" s="276" t="s">
        <v>208</v>
      </c>
      <c r="E2" s="276"/>
      <c r="F2" s="558" t="s">
        <v>139</v>
      </c>
      <c r="G2" s="558"/>
      <c r="H2" s="562"/>
      <c r="I2" s="563" t="s">
        <v>17</v>
      </c>
      <c r="J2" s="558"/>
      <c r="K2" s="562"/>
      <c r="L2" s="563" t="s">
        <v>18</v>
      </c>
      <c r="M2" s="558"/>
      <c r="N2" s="562"/>
      <c r="O2" s="558" t="s">
        <v>228</v>
      </c>
      <c r="P2" s="558"/>
      <c r="Q2" s="558"/>
    </row>
    <row r="3" spans="2:18" ht="18" thickBot="1">
      <c r="B3" s="277"/>
      <c r="C3" s="277"/>
      <c r="D3" s="278" t="s">
        <v>82</v>
      </c>
      <c r="E3" s="278" t="s">
        <v>83</v>
      </c>
      <c r="F3" s="278" t="s">
        <v>240</v>
      </c>
      <c r="G3" s="278" t="s">
        <v>241</v>
      </c>
      <c r="H3" s="279" t="s">
        <v>19</v>
      </c>
      <c r="I3" s="280" t="s">
        <v>20</v>
      </c>
      <c r="J3" s="278" t="s">
        <v>21</v>
      </c>
      <c r="K3" s="279" t="s">
        <v>19</v>
      </c>
      <c r="L3" s="280" t="s">
        <v>20</v>
      </c>
      <c r="M3" s="278" t="s">
        <v>21</v>
      </c>
      <c r="N3" s="279" t="s">
        <v>19</v>
      </c>
      <c r="O3" s="278" t="s">
        <v>20</v>
      </c>
      <c r="P3" s="278" t="s">
        <v>21</v>
      </c>
      <c r="Q3" s="281" t="s">
        <v>19</v>
      </c>
    </row>
    <row r="4" spans="2:18" ht="16.2" thickTop="1">
      <c r="B4" s="282" t="s">
        <v>140</v>
      </c>
      <c r="C4" s="249" t="s">
        <v>141</v>
      </c>
      <c r="D4" s="268">
        <v>26219</v>
      </c>
      <c r="E4" s="268">
        <f>ROUND(D4/SUM(D$4:D$6)*100, 1)</f>
        <v>65.8</v>
      </c>
      <c r="F4" s="336">
        <v>1</v>
      </c>
      <c r="H4" s="283"/>
      <c r="I4" s="284">
        <v>1</v>
      </c>
      <c r="K4" s="283"/>
      <c r="L4" s="284">
        <v>1</v>
      </c>
      <c r="N4" s="283"/>
      <c r="O4" s="336">
        <v>1</v>
      </c>
      <c r="P4" s="307"/>
    </row>
    <row r="5" spans="2:18">
      <c r="C5" s="249" t="s">
        <v>6</v>
      </c>
      <c r="D5" s="268">
        <v>4991</v>
      </c>
      <c r="E5" s="268">
        <f t="shared" ref="E5:E6" si="0">ROUND(D5/SUM(D$4:D$6)*100, 1)</f>
        <v>12.5</v>
      </c>
      <c r="F5" s="336">
        <v>1.30142708792342</v>
      </c>
      <c r="G5" s="307" t="s">
        <v>295</v>
      </c>
      <c r="H5" s="285">
        <v>5.2215644406426601E-4</v>
      </c>
      <c r="I5" s="284">
        <v>1.3602153675023301</v>
      </c>
      <c r="J5" s="307" t="s">
        <v>306</v>
      </c>
      <c r="K5" s="285">
        <v>5.1945602576931703E-5</v>
      </c>
      <c r="L5" s="284">
        <v>1.3520202600161</v>
      </c>
      <c r="M5" s="307" t="s">
        <v>318</v>
      </c>
      <c r="N5" s="285">
        <v>7.4295247084278404E-5</v>
      </c>
      <c r="O5" s="336">
        <v>1.32554953297387</v>
      </c>
      <c r="P5" s="307" t="s">
        <v>334</v>
      </c>
      <c r="Q5" s="336">
        <v>2.2734331625081299E-4</v>
      </c>
    </row>
    <row r="6" spans="2:18">
      <c r="C6" s="249" t="s">
        <v>7</v>
      </c>
      <c r="D6" s="268">
        <v>8649</v>
      </c>
      <c r="E6" s="268">
        <f t="shared" si="0"/>
        <v>21.7</v>
      </c>
      <c r="F6" s="336">
        <v>1.11262909303366</v>
      </c>
      <c r="G6" s="307" t="s">
        <v>292</v>
      </c>
      <c r="H6" s="285">
        <v>0.13143683046315</v>
      </c>
      <c r="I6" s="284">
        <v>1.2201995884190899</v>
      </c>
      <c r="J6" s="307" t="s">
        <v>296</v>
      </c>
      <c r="K6" s="285">
        <v>5.1990849608308598E-3</v>
      </c>
      <c r="L6" s="284">
        <v>1.2244510932820101</v>
      </c>
      <c r="M6" s="307" t="s">
        <v>307</v>
      </c>
      <c r="N6" s="285">
        <v>4.4853525870733896E-3</v>
      </c>
      <c r="O6" s="336">
        <v>1.21790399449534</v>
      </c>
      <c r="P6" s="307" t="s">
        <v>319</v>
      </c>
      <c r="Q6" s="336">
        <v>5.9256952375617601E-3</v>
      </c>
    </row>
    <row r="7" spans="2:18">
      <c r="B7" s="189" t="s">
        <v>143</v>
      </c>
      <c r="C7" s="249" t="s">
        <v>152</v>
      </c>
      <c r="D7" s="259">
        <v>20509</v>
      </c>
      <c r="E7" s="268">
        <f>ROUND(D7/SUM(D$7:D$8)*100, 1)</f>
        <v>51.5</v>
      </c>
      <c r="F7" s="337">
        <v>1</v>
      </c>
      <c r="H7" s="275"/>
      <c r="I7" s="274">
        <v>1</v>
      </c>
      <c r="K7" s="275"/>
      <c r="L7" s="274">
        <v>1</v>
      </c>
      <c r="N7" s="275"/>
      <c r="O7" s="337">
        <v>1</v>
      </c>
      <c r="P7" s="307"/>
      <c r="Q7" s="337"/>
    </row>
    <row r="8" spans="2:18">
      <c r="C8" s="286" t="s">
        <v>242</v>
      </c>
      <c r="D8" s="259">
        <v>19350</v>
      </c>
      <c r="E8" s="268">
        <f>ROUND(D8/SUM(D$7:D$8)*100, 1)</f>
        <v>48.5</v>
      </c>
      <c r="F8" s="337">
        <v>6.9366139744615696</v>
      </c>
      <c r="G8" s="307" t="s">
        <v>293</v>
      </c>
      <c r="H8" s="275">
        <v>6.5510323925966199E-277</v>
      </c>
      <c r="I8" s="274">
        <v>5.2858549452411703</v>
      </c>
      <c r="J8" s="307" t="s">
        <v>297</v>
      </c>
      <c r="K8" s="275">
        <v>2.7174841082319998E-187</v>
      </c>
      <c r="L8" s="274">
        <v>5.3723282763141498</v>
      </c>
      <c r="M8" s="307" t="s">
        <v>308</v>
      </c>
      <c r="N8" s="275">
        <v>1.3524464302869499E-186</v>
      </c>
      <c r="O8" s="337">
        <v>5.3329925096303104</v>
      </c>
      <c r="P8" s="307" t="s">
        <v>320</v>
      </c>
      <c r="Q8" s="337">
        <v>1.13169995121916E-183</v>
      </c>
    </row>
    <row r="9" spans="2:18">
      <c r="B9" s="189" t="s">
        <v>144</v>
      </c>
      <c r="C9" s="249" t="s">
        <v>51</v>
      </c>
      <c r="D9" s="259">
        <v>29831</v>
      </c>
      <c r="E9" s="268">
        <f>ROUND(D9/SUM(D$9:D$10)*100, 1)</f>
        <v>74.8</v>
      </c>
      <c r="F9" s="337">
        <v>1</v>
      </c>
      <c r="H9" s="275"/>
      <c r="I9" s="274">
        <v>1</v>
      </c>
      <c r="K9" s="275"/>
      <c r="L9" s="274">
        <v>1</v>
      </c>
      <c r="N9" s="275"/>
      <c r="O9" s="337">
        <v>1</v>
      </c>
      <c r="P9" s="307"/>
      <c r="Q9" s="337"/>
    </row>
    <row r="10" spans="2:18">
      <c r="B10" s="287"/>
      <c r="C10" s="288" t="s">
        <v>153</v>
      </c>
      <c r="D10" s="259">
        <v>10028</v>
      </c>
      <c r="E10" s="268">
        <f>ROUND(D10/SUM(D$9:D$10)*100, 1)</f>
        <v>25.2</v>
      </c>
      <c r="F10" s="338">
        <v>0.50752652087432204</v>
      </c>
      <c r="G10" s="289" t="s">
        <v>294</v>
      </c>
      <c r="H10" s="291">
        <v>1.02435530944204E-37</v>
      </c>
      <c r="I10" s="290">
        <v>0.50286511321095695</v>
      </c>
      <c r="J10" s="289" t="s">
        <v>298</v>
      </c>
      <c r="K10" s="291">
        <v>4.0338769652638296E-37</v>
      </c>
      <c r="L10" s="290">
        <v>0.50964574018125697</v>
      </c>
      <c r="M10" s="289" t="s">
        <v>309</v>
      </c>
      <c r="N10" s="291">
        <v>3.3861735493600001E-35</v>
      </c>
      <c r="O10" s="338">
        <v>0.51422648839128504</v>
      </c>
      <c r="P10" s="289" t="s">
        <v>321</v>
      </c>
      <c r="Q10" s="338">
        <v>9.2102013180029592E-34</v>
      </c>
    </row>
    <row r="11" spans="2:18">
      <c r="B11" s="256" t="s">
        <v>57</v>
      </c>
      <c r="C11" s="253"/>
      <c r="D11" s="560">
        <v>24.92398</v>
      </c>
      <c r="E11" s="560"/>
      <c r="F11" s="257"/>
      <c r="G11" s="258"/>
      <c r="H11" s="266"/>
      <c r="I11" s="292">
        <v>0.88798176391178696</v>
      </c>
      <c r="J11" s="320" t="s">
        <v>299</v>
      </c>
      <c r="K11" s="293">
        <v>3.9600338336742799E-45</v>
      </c>
      <c r="L11" s="292">
        <v>0.88871799191327805</v>
      </c>
      <c r="M11" s="320" t="s">
        <v>310</v>
      </c>
      <c r="N11" s="293">
        <v>2.1523004812925001E-44</v>
      </c>
      <c r="O11" s="339">
        <v>0.88910107439014896</v>
      </c>
      <c r="P11" s="320" t="s">
        <v>322</v>
      </c>
      <c r="Q11" s="339">
        <v>4.8804494944694297E-44</v>
      </c>
    </row>
    <row r="12" spans="2:18">
      <c r="B12" s="189" t="s">
        <v>145</v>
      </c>
      <c r="C12" s="249"/>
      <c r="D12" s="561">
        <v>199.99119999999999</v>
      </c>
      <c r="E12" s="561"/>
      <c r="F12" s="250"/>
      <c r="G12" s="251"/>
      <c r="H12" s="267"/>
      <c r="I12" s="274">
        <v>0.99905433264348398</v>
      </c>
      <c r="J12" s="307" t="s">
        <v>300</v>
      </c>
      <c r="K12" s="275">
        <v>0.14863708744356499</v>
      </c>
      <c r="L12" s="274">
        <v>0.99905372012397098</v>
      </c>
      <c r="M12" s="307" t="s">
        <v>300</v>
      </c>
      <c r="N12" s="275">
        <v>0.14801005585482499</v>
      </c>
      <c r="O12" s="337">
        <v>0.99907875855509798</v>
      </c>
      <c r="P12" s="307" t="s">
        <v>300</v>
      </c>
      <c r="Q12" s="337">
        <v>0.15925039346411801</v>
      </c>
    </row>
    <row r="13" spans="2:18">
      <c r="B13" s="189" t="s">
        <v>63</v>
      </c>
      <c r="C13" s="249" t="s">
        <v>23</v>
      </c>
      <c r="D13" s="268">
        <v>15891</v>
      </c>
      <c r="E13" s="271">
        <f>ROUND(D13/SUM(D$13:D$14)*100, 1)</f>
        <v>39.9</v>
      </c>
      <c r="F13" s="250"/>
      <c r="G13" s="251"/>
      <c r="H13" s="267"/>
      <c r="I13" s="274">
        <v>1</v>
      </c>
      <c r="K13" s="275"/>
      <c r="L13" s="274">
        <v>1</v>
      </c>
      <c r="N13" s="275"/>
      <c r="O13" s="337">
        <v>1</v>
      </c>
      <c r="P13" s="307"/>
      <c r="Q13" s="337"/>
    </row>
    <row r="14" spans="2:18">
      <c r="C14" s="249" t="s">
        <v>64</v>
      </c>
      <c r="D14" s="268">
        <v>23968</v>
      </c>
      <c r="E14" s="271">
        <f t="shared" ref="E14:E32" si="1">ROUND(D14/SUM(D$9:D$10)*100, 1)</f>
        <v>60.1</v>
      </c>
      <c r="F14" s="250"/>
      <c r="G14" s="251"/>
      <c r="H14" s="267"/>
      <c r="I14" s="274">
        <v>0.53079155760105901</v>
      </c>
      <c r="J14" s="307" t="s">
        <v>301</v>
      </c>
      <c r="K14" s="275">
        <v>3.9160902212987898E-32</v>
      </c>
      <c r="L14" s="274">
        <v>0.53060834823170999</v>
      </c>
      <c r="M14" s="307" t="s">
        <v>311</v>
      </c>
      <c r="N14" s="275">
        <v>3.7009987359131399E-32</v>
      </c>
      <c r="O14" s="337">
        <v>0.532300488237749</v>
      </c>
      <c r="P14" s="307" t="s">
        <v>323</v>
      </c>
      <c r="Q14" s="337">
        <v>8.2794687353046097E-32</v>
      </c>
    </row>
    <row r="15" spans="2:18">
      <c r="B15" s="256" t="s">
        <v>67</v>
      </c>
      <c r="C15" s="253" t="s">
        <v>23</v>
      </c>
      <c r="D15" s="319">
        <v>15108</v>
      </c>
      <c r="E15" s="271">
        <f t="shared" si="1"/>
        <v>37.9</v>
      </c>
      <c r="F15" s="257"/>
      <c r="G15" s="258"/>
      <c r="H15" s="266"/>
      <c r="I15" s="292">
        <v>1</v>
      </c>
      <c r="J15" s="320"/>
      <c r="K15" s="293"/>
      <c r="L15" s="292">
        <v>1</v>
      </c>
      <c r="M15" s="320"/>
      <c r="N15" s="293"/>
      <c r="O15" s="339">
        <v>1</v>
      </c>
      <c r="P15" s="320"/>
      <c r="Q15" s="339"/>
      <c r="R15" s="318"/>
    </row>
    <row r="16" spans="2:18">
      <c r="C16" s="249" t="s">
        <v>64</v>
      </c>
      <c r="D16" s="268">
        <v>24751</v>
      </c>
      <c r="E16" s="271">
        <f t="shared" si="1"/>
        <v>62.1</v>
      </c>
      <c r="F16" s="250"/>
      <c r="G16" s="251"/>
      <c r="H16" s="267"/>
      <c r="I16" s="274">
        <v>1.28761080523386</v>
      </c>
      <c r="J16" s="307" t="s">
        <v>302</v>
      </c>
      <c r="K16" s="275">
        <v>2.8472722858952601E-5</v>
      </c>
      <c r="L16" s="274">
        <v>1.3001989427546099</v>
      </c>
      <c r="M16" s="307" t="s">
        <v>312</v>
      </c>
      <c r="N16" s="275">
        <v>1.61266614495848E-5</v>
      </c>
      <c r="O16" s="337">
        <v>1.27054459824595</v>
      </c>
      <c r="P16" s="307" t="s">
        <v>324</v>
      </c>
      <c r="Q16" s="337">
        <v>1.10144059656012E-4</v>
      </c>
    </row>
    <row r="17" spans="2:17">
      <c r="B17" s="189" t="s">
        <v>150</v>
      </c>
      <c r="C17" s="249">
        <v>0</v>
      </c>
      <c r="D17" s="268">
        <v>15954</v>
      </c>
      <c r="E17" s="271">
        <f t="shared" si="1"/>
        <v>40</v>
      </c>
      <c r="F17" s="250"/>
      <c r="G17" s="251"/>
      <c r="H17" s="267"/>
      <c r="I17" s="274">
        <v>1</v>
      </c>
      <c r="K17" s="275"/>
      <c r="L17" s="274">
        <v>1</v>
      </c>
      <c r="N17" s="275"/>
      <c r="O17" s="337">
        <v>1</v>
      </c>
      <c r="P17" s="307"/>
      <c r="Q17" s="337"/>
    </row>
    <row r="18" spans="2:17">
      <c r="C18" s="249">
        <v>1</v>
      </c>
      <c r="D18" s="268">
        <v>11582</v>
      </c>
      <c r="E18" s="271">
        <f t="shared" si="1"/>
        <v>29.1</v>
      </c>
      <c r="F18" s="250"/>
      <c r="G18" s="251"/>
      <c r="H18" s="267"/>
      <c r="I18" s="274">
        <v>1.05069112213469</v>
      </c>
      <c r="J18" s="307" t="s">
        <v>303</v>
      </c>
      <c r="K18" s="275">
        <v>0.46659984808001198</v>
      </c>
      <c r="L18" s="274">
        <v>1.0650752764011899</v>
      </c>
      <c r="M18" s="307" t="s">
        <v>313</v>
      </c>
      <c r="N18" s="275">
        <v>0.355682124795208</v>
      </c>
      <c r="O18" s="337">
        <v>1.07397193944721</v>
      </c>
      <c r="P18" s="307" t="s">
        <v>325</v>
      </c>
      <c r="Q18" s="337">
        <v>0.29628937786371201</v>
      </c>
    </row>
    <row r="19" spans="2:17">
      <c r="C19" s="249">
        <v>2</v>
      </c>
      <c r="D19" s="268">
        <v>6730</v>
      </c>
      <c r="E19" s="271">
        <f t="shared" si="1"/>
        <v>16.899999999999999</v>
      </c>
      <c r="F19" s="250"/>
      <c r="G19" s="251"/>
      <c r="H19" s="267"/>
      <c r="I19" s="274">
        <v>1.17876050559268</v>
      </c>
      <c r="J19" s="307" t="s">
        <v>304</v>
      </c>
      <c r="K19" s="275">
        <v>2.9327804611491901E-2</v>
      </c>
      <c r="L19" s="274">
        <v>1.2037189653677001</v>
      </c>
      <c r="M19" s="307" t="s">
        <v>314</v>
      </c>
      <c r="N19" s="275">
        <v>1.52062888369468E-2</v>
      </c>
      <c r="O19" s="337">
        <v>1.2004907276216801</v>
      </c>
      <c r="P19" s="307" t="s">
        <v>326</v>
      </c>
      <c r="Q19" s="337">
        <v>1.7046858961859701E-2</v>
      </c>
    </row>
    <row r="20" spans="2:17">
      <c r="B20" s="287"/>
      <c r="C20" s="288" t="s">
        <v>151</v>
      </c>
      <c r="D20" s="269">
        <v>5593</v>
      </c>
      <c r="E20" s="271">
        <f t="shared" si="1"/>
        <v>14</v>
      </c>
      <c r="F20" s="294"/>
      <c r="G20" s="295"/>
      <c r="H20" s="296"/>
      <c r="I20" s="290">
        <v>1.6785013568799401</v>
      </c>
      <c r="J20" s="307" t="s">
        <v>305</v>
      </c>
      <c r="K20" s="275">
        <v>3.3758018418230298E-13</v>
      </c>
      <c r="L20" s="274">
        <v>1.7122679243705401</v>
      </c>
      <c r="M20" s="307" t="s">
        <v>315</v>
      </c>
      <c r="N20" s="275">
        <v>1.00586388514793E-13</v>
      </c>
      <c r="O20" s="290">
        <v>1.6871110345206299</v>
      </c>
      <c r="P20" s="289" t="s">
        <v>327</v>
      </c>
      <c r="Q20" s="338">
        <v>7.9062146833600899E-13</v>
      </c>
    </row>
    <row r="21" spans="2:17">
      <c r="B21" s="297" t="s">
        <v>227</v>
      </c>
      <c r="C21" s="249" t="s">
        <v>5</v>
      </c>
      <c r="D21" s="268">
        <v>4775</v>
      </c>
      <c r="E21" s="272">
        <f t="shared" si="1"/>
        <v>12</v>
      </c>
      <c r="F21" s="250"/>
      <c r="G21" s="251"/>
      <c r="H21" s="250"/>
      <c r="I21" s="309"/>
      <c r="J21" s="258"/>
      <c r="K21" s="266"/>
      <c r="L21" s="335">
        <v>1</v>
      </c>
      <c r="M21" s="320"/>
      <c r="N21" s="293"/>
    </row>
    <row r="22" spans="2:17">
      <c r="C22" s="249" t="s">
        <v>9</v>
      </c>
      <c r="D22" s="268">
        <v>19741</v>
      </c>
      <c r="E22" s="271">
        <f t="shared" si="1"/>
        <v>49.5</v>
      </c>
      <c r="F22" s="250"/>
      <c r="G22" s="251"/>
      <c r="H22" s="250"/>
      <c r="I22" s="298"/>
      <c r="J22" s="251"/>
      <c r="K22" s="267"/>
      <c r="L22" s="284">
        <v>0.83598789834437504</v>
      </c>
      <c r="M22" s="307" t="s">
        <v>316</v>
      </c>
      <c r="N22" s="285">
        <v>3.93874422627511E-2</v>
      </c>
    </row>
    <row r="23" spans="2:17">
      <c r="C23" s="249" t="s">
        <v>142</v>
      </c>
      <c r="D23" s="268">
        <v>15343</v>
      </c>
      <c r="E23" s="271">
        <f t="shared" si="1"/>
        <v>38.5</v>
      </c>
      <c r="F23" s="299"/>
      <c r="G23" s="251"/>
      <c r="H23" s="299"/>
      <c r="I23" s="310"/>
      <c r="J23" s="251"/>
      <c r="K23" s="311"/>
      <c r="L23" s="284">
        <v>0.81028563911246798</v>
      </c>
      <c r="M23" s="307" t="s">
        <v>317</v>
      </c>
      <c r="N23" s="285">
        <v>1.9908268724176802E-2</v>
      </c>
    </row>
    <row r="24" spans="2:17">
      <c r="B24" s="300" t="s">
        <v>26</v>
      </c>
      <c r="C24" s="249" t="s">
        <v>5</v>
      </c>
      <c r="D24" s="268">
        <v>11382</v>
      </c>
      <c r="E24" s="271">
        <f t="shared" si="1"/>
        <v>28.6</v>
      </c>
      <c r="F24" s="299"/>
      <c r="G24" s="251"/>
      <c r="H24" s="299"/>
      <c r="I24" s="310"/>
      <c r="J24" s="251"/>
      <c r="K24" s="311"/>
      <c r="L24" s="314"/>
      <c r="M24" s="251"/>
      <c r="N24" s="315"/>
      <c r="O24" s="337">
        <v>1</v>
      </c>
      <c r="Q24" s="337"/>
    </row>
    <row r="25" spans="2:17">
      <c r="B25" s="300"/>
      <c r="C25" s="249" t="s">
        <v>9</v>
      </c>
      <c r="D25" s="268">
        <v>23069</v>
      </c>
      <c r="E25" s="271">
        <f t="shared" si="1"/>
        <v>57.9</v>
      </c>
      <c r="F25" s="299"/>
      <c r="G25" s="251"/>
      <c r="H25" s="299"/>
      <c r="I25" s="310"/>
      <c r="J25" s="251"/>
      <c r="K25" s="311"/>
      <c r="L25" s="314"/>
      <c r="M25" s="251"/>
      <c r="N25" s="315"/>
      <c r="O25" s="337">
        <v>0.83898112277019499</v>
      </c>
      <c r="P25" s="189" t="s">
        <v>328</v>
      </c>
      <c r="Q25" s="337">
        <v>3.8055138490505E-3</v>
      </c>
    </row>
    <row r="26" spans="2:17">
      <c r="B26" s="300"/>
      <c r="C26" s="249" t="s">
        <v>142</v>
      </c>
      <c r="D26" s="268">
        <v>5408</v>
      </c>
      <c r="E26" s="271">
        <f t="shared" si="1"/>
        <v>13.6</v>
      </c>
      <c r="F26" s="299"/>
      <c r="G26" s="251"/>
      <c r="H26" s="299"/>
      <c r="I26" s="310"/>
      <c r="J26" s="251"/>
      <c r="K26" s="311"/>
      <c r="L26" s="314"/>
      <c r="M26" s="251"/>
      <c r="N26" s="315"/>
      <c r="O26" s="337">
        <v>0.86309800648161605</v>
      </c>
      <c r="P26" s="189" t="s">
        <v>329</v>
      </c>
      <c r="Q26" s="337">
        <v>8.5740217078524195E-2</v>
      </c>
    </row>
    <row r="27" spans="2:17">
      <c r="B27" s="300" t="s">
        <v>229</v>
      </c>
      <c r="C27" s="249" t="s">
        <v>5</v>
      </c>
      <c r="D27" s="268">
        <v>28257</v>
      </c>
      <c r="E27" s="271">
        <f t="shared" si="1"/>
        <v>70.900000000000006</v>
      </c>
      <c r="F27" s="299"/>
      <c r="G27" s="251"/>
      <c r="H27" s="299"/>
      <c r="I27" s="310"/>
      <c r="J27" s="251"/>
      <c r="K27" s="311"/>
      <c r="L27" s="314"/>
      <c r="M27" s="251"/>
      <c r="N27" s="315"/>
      <c r="O27" s="336">
        <v>1</v>
      </c>
      <c r="P27" s="307"/>
      <c r="Q27" s="337"/>
    </row>
    <row r="28" spans="2:17">
      <c r="B28" s="300"/>
      <c r="C28" s="249" t="s">
        <v>9</v>
      </c>
      <c r="D28" s="268">
        <v>4302</v>
      </c>
      <c r="E28" s="271">
        <f t="shared" si="1"/>
        <v>10.8</v>
      </c>
      <c r="F28" s="299"/>
      <c r="G28" s="251"/>
      <c r="H28" s="299"/>
      <c r="I28" s="310"/>
      <c r="J28" s="251"/>
      <c r="K28" s="311"/>
      <c r="L28" s="314"/>
      <c r="M28" s="251"/>
      <c r="N28" s="315"/>
      <c r="O28" s="336">
        <v>1.17687885818175</v>
      </c>
      <c r="P28" s="307" t="s">
        <v>330</v>
      </c>
      <c r="Q28" s="336">
        <v>2.7436955494884101E-2</v>
      </c>
    </row>
    <row r="29" spans="2:17">
      <c r="B29" s="300"/>
      <c r="C29" s="249" t="s">
        <v>142</v>
      </c>
      <c r="D29" s="268">
        <v>7300</v>
      </c>
      <c r="E29" s="271">
        <f t="shared" si="1"/>
        <v>18.3</v>
      </c>
      <c r="F29" s="299"/>
      <c r="G29" s="251"/>
      <c r="H29" s="299"/>
      <c r="I29" s="310"/>
      <c r="J29" s="251"/>
      <c r="K29" s="311"/>
      <c r="L29" s="314"/>
      <c r="M29" s="251"/>
      <c r="N29" s="315"/>
      <c r="O29" s="336">
        <v>0.99936742563580605</v>
      </c>
      <c r="P29" s="307" t="s">
        <v>331</v>
      </c>
      <c r="Q29" s="336">
        <v>0.99250629688474901</v>
      </c>
    </row>
    <row r="30" spans="2:17">
      <c r="B30" s="300" t="s">
        <v>239</v>
      </c>
      <c r="C30" s="249" t="s">
        <v>5</v>
      </c>
      <c r="D30" s="268">
        <v>13846</v>
      </c>
      <c r="E30" s="271">
        <f t="shared" si="1"/>
        <v>34.700000000000003</v>
      </c>
      <c r="F30" s="299"/>
      <c r="G30" s="251"/>
      <c r="H30" s="299"/>
      <c r="I30" s="310"/>
      <c r="J30" s="251"/>
      <c r="K30" s="311"/>
      <c r="L30" s="314"/>
      <c r="M30" s="251"/>
      <c r="N30" s="315"/>
      <c r="O30" s="336">
        <v>1</v>
      </c>
      <c r="P30" s="307"/>
      <c r="Q30" s="336"/>
    </row>
    <row r="31" spans="2:17">
      <c r="B31" s="300"/>
      <c r="C31" s="249" t="s">
        <v>9</v>
      </c>
      <c r="D31" s="268">
        <v>23061</v>
      </c>
      <c r="E31" s="271">
        <f t="shared" si="1"/>
        <v>57.9</v>
      </c>
      <c r="F31" s="299"/>
      <c r="G31" s="251"/>
      <c r="H31" s="299"/>
      <c r="I31" s="310"/>
      <c r="J31" s="251"/>
      <c r="K31" s="311"/>
      <c r="L31" s="314"/>
      <c r="M31" s="251"/>
      <c r="N31" s="315"/>
      <c r="O31" s="336">
        <v>0.80362599218709596</v>
      </c>
      <c r="P31" s="307" t="s">
        <v>332</v>
      </c>
      <c r="Q31" s="336">
        <v>2.3674406521968799E-4</v>
      </c>
    </row>
    <row r="32" spans="2:17">
      <c r="B32" s="301"/>
      <c r="C32" s="302" t="s">
        <v>142</v>
      </c>
      <c r="D32" s="270">
        <v>2952</v>
      </c>
      <c r="E32" s="273">
        <f t="shared" si="1"/>
        <v>7.4</v>
      </c>
      <c r="F32" s="303"/>
      <c r="G32" s="304"/>
      <c r="H32" s="303"/>
      <c r="I32" s="312"/>
      <c r="J32" s="304"/>
      <c r="K32" s="313"/>
      <c r="L32" s="316"/>
      <c r="M32" s="304"/>
      <c r="N32" s="317"/>
      <c r="O32" s="342">
        <v>1.07163419219732</v>
      </c>
      <c r="P32" s="305" t="s">
        <v>333</v>
      </c>
      <c r="Q32" s="340">
        <v>0.449620029450092</v>
      </c>
    </row>
    <row r="33" spans="2:14" ht="17.399999999999999">
      <c r="B33" s="306" t="s">
        <v>243</v>
      </c>
      <c r="C33" s="306"/>
      <c r="D33" s="306"/>
      <c r="E33" s="306"/>
    </row>
    <row r="34" spans="2:14">
      <c r="B34" s="300" t="s">
        <v>138</v>
      </c>
      <c r="C34" s="300"/>
      <c r="D34" s="300"/>
      <c r="E34" s="300"/>
      <c r="F34" s="300"/>
      <c r="G34" s="308"/>
    </row>
    <row r="35" spans="2:14">
      <c r="B35" s="300" t="s">
        <v>206</v>
      </c>
      <c r="C35" s="300"/>
      <c r="D35" s="300"/>
      <c r="E35" s="300"/>
      <c r="F35" s="300"/>
      <c r="G35" s="308"/>
      <c r="H35" s="300"/>
      <c r="I35" s="300"/>
      <c r="J35" s="308"/>
      <c r="K35" s="300"/>
      <c r="L35" s="300"/>
      <c r="M35" s="308"/>
      <c r="N35" s="300"/>
    </row>
    <row r="36" spans="2:14">
      <c r="B36" s="300" t="s">
        <v>205</v>
      </c>
      <c r="C36" s="300"/>
      <c r="D36" s="300"/>
      <c r="E36" s="300"/>
      <c r="F36" s="300"/>
      <c r="G36" s="308"/>
      <c r="H36" s="300"/>
      <c r="I36" s="300"/>
      <c r="J36" s="308"/>
      <c r="K36" s="300"/>
      <c r="L36" s="300"/>
      <c r="M36" s="308"/>
      <c r="N36" s="300"/>
    </row>
  </sheetData>
  <mergeCells count="6">
    <mergeCell ref="D12:E12"/>
    <mergeCell ref="F2:H2"/>
    <mergeCell ref="I2:K2"/>
    <mergeCell ref="L2:N2"/>
    <mergeCell ref="O2:Q2"/>
    <mergeCell ref="D11:E1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Q20"/>
  <sheetViews>
    <sheetView zoomScale="85" zoomScaleNormal="85" workbookViewId="0">
      <selection activeCell="I29" sqref="I29"/>
    </sheetView>
  </sheetViews>
  <sheetFormatPr defaultRowHeight="14.4"/>
  <cols>
    <col min="2" max="2" width="22.88671875" customWidth="1"/>
    <col min="6" max="6" width="12.21875" customWidth="1"/>
    <col min="9" max="9" width="8.21875" customWidth="1"/>
    <col min="11" max="11" width="11.77734375" customWidth="1"/>
    <col min="12" max="12" width="12.77734375" customWidth="1"/>
    <col min="16" max="16" width="11.109375" customWidth="1"/>
  </cols>
  <sheetData>
    <row r="2" spans="2:17" ht="15.6">
      <c r="B2" s="276"/>
      <c r="C2" s="567" t="s">
        <v>338</v>
      </c>
      <c r="D2" s="558"/>
      <c r="E2" s="558"/>
      <c r="F2" s="558"/>
      <c r="G2" s="568"/>
      <c r="H2" s="567" t="s">
        <v>339</v>
      </c>
      <c r="I2" s="558"/>
      <c r="J2" s="558"/>
      <c r="K2" s="558"/>
      <c r="L2" s="568"/>
      <c r="M2" s="567" t="s">
        <v>340</v>
      </c>
      <c r="N2" s="558"/>
      <c r="O2" s="558"/>
      <c r="P2" s="558"/>
      <c r="Q2" s="562"/>
    </row>
    <row r="3" spans="2:17" ht="16.2" thickBot="1">
      <c r="B3" s="277"/>
      <c r="C3" s="352" t="s">
        <v>82</v>
      </c>
      <c r="D3" s="278" t="s">
        <v>83</v>
      </c>
      <c r="E3" s="280" t="s">
        <v>20</v>
      </c>
      <c r="F3" s="278" t="s">
        <v>21</v>
      </c>
      <c r="G3" s="279" t="s">
        <v>19</v>
      </c>
      <c r="H3" s="352" t="s">
        <v>82</v>
      </c>
      <c r="I3" s="278" t="s">
        <v>83</v>
      </c>
      <c r="J3" s="280" t="s">
        <v>20</v>
      </c>
      <c r="K3" s="278" t="s">
        <v>21</v>
      </c>
      <c r="L3" s="279" t="s">
        <v>19</v>
      </c>
      <c r="M3" s="352" t="s">
        <v>82</v>
      </c>
      <c r="N3" s="278" t="s">
        <v>83</v>
      </c>
      <c r="O3" s="280" t="s">
        <v>20</v>
      </c>
      <c r="P3" s="278" t="s">
        <v>21</v>
      </c>
      <c r="Q3" s="279" t="s">
        <v>19</v>
      </c>
    </row>
    <row r="4" spans="2:17" ht="16.2" thickTop="1">
      <c r="B4" s="189" t="s">
        <v>143</v>
      </c>
      <c r="C4" s="353">
        <v>18950</v>
      </c>
      <c r="D4" s="268">
        <f>ROUND(C4/SUM(C$4:C$5)*100, 1)</f>
        <v>72.2</v>
      </c>
      <c r="E4" s="274">
        <v>1</v>
      </c>
      <c r="F4" s="307"/>
      <c r="G4" s="283"/>
      <c r="H4" s="353">
        <v>3898</v>
      </c>
      <c r="I4" s="268">
        <f>ROUND(H4/SUM(H$4:H$5)*100, 1)</f>
        <v>78.099999999999994</v>
      </c>
      <c r="J4" s="274">
        <v>1</v>
      </c>
      <c r="K4" s="307"/>
      <c r="L4" s="283"/>
      <c r="M4" s="353">
        <v>6983</v>
      </c>
      <c r="N4" s="268">
        <f>ROUND(M4/SUM(M$4:M$5)*100, 1)</f>
        <v>80.7</v>
      </c>
      <c r="O4" s="274">
        <v>1</v>
      </c>
      <c r="P4" s="307"/>
      <c r="Q4" s="283"/>
    </row>
    <row r="5" spans="2:17" ht="15.6">
      <c r="B5" s="189"/>
      <c r="C5" s="353">
        <v>7296</v>
      </c>
      <c r="D5" s="268">
        <f>ROUND(C5/SUM(C$4:C$5)*100, 1)</f>
        <v>27.8</v>
      </c>
      <c r="E5" s="274">
        <v>1.78772783327298</v>
      </c>
      <c r="F5" s="307" t="s">
        <v>373</v>
      </c>
      <c r="G5" s="275">
        <v>1.8447190823010599E-22</v>
      </c>
      <c r="H5" s="353">
        <v>1093</v>
      </c>
      <c r="I5" s="268">
        <f>ROUND(H5/SUM(H$4:H$5)*100, 1)</f>
        <v>21.9</v>
      </c>
      <c r="J5" s="274">
        <v>2.54256626095852</v>
      </c>
      <c r="K5" s="307" t="s">
        <v>362</v>
      </c>
      <c r="L5" s="275">
        <v>1.1149179082760201E-9</v>
      </c>
      <c r="M5" s="353">
        <v>1666</v>
      </c>
      <c r="N5" s="268">
        <f>ROUND(M5/SUM(M$4:M$5)*100, 1)</f>
        <v>19.3</v>
      </c>
      <c r="O5" s="274">
        <v>2.4361441393036198</v>
      </c>
      <c r="P5" s="307" t="s">
        <v>351</v>
      </c>
      <c r="Q5" s="275">
        <v>4.7674665620607997E-11</v>
      </c>
    </row>
    <row r="6" spans="2:17" ht="15.6">
      <c r="B6" s="189" t="s">
        <v>144</v>
      </c>
      <c r="C6" s="353">
        <v>12633</v>
      </c>
      <c r="D6" s="268">
        <f>ROUND(C6/SUM(C$6:C$7)*100, 1)</f>
        <v>48.2</v>
      </c>
      <c r="E6" s="274">
        <v>1</v>
      </c>
      <c r="F6" s="307"/>
      <c r="G6" s="275"/>
      <c r="H6" s="353">
        <v>2946</v>
      </c>
      <c r="I6" s="268">
        <f>ROUND(H6/SUM(H$6:H$7)*100, 1)</f>
        <v>59</v>
      </c>
      <c r="J6" s="274">
        <v>1</v>
      </c>
      <c r="K6" s="307"/>
      <c r="L6" s="275"/>
      <c r="M6" s="353">
        <v>4930</v>
      </c>
      <c r="N6" s="268">
        <f>ROUND(M6/SUM(M$6:M$7)*100, 1)</f>
        <v>57</v>
      </c>
      <c r="O6" s="274">
        <v>1</v>
      </c>
      <c r="P6" s="307"/>
      <c r="Q6" s="275"/>
    </row>
    <row r="7" spans="2:17" ht="15.6">
      <c r="B7" s="287"/>
      <c r="C7" s="353">
        <v>13586</v>
      </c>
      <c r="D7" s="268">
        <f>ROUND(C7/SUM(C$6:C$7)*100, 1)</f>
        <v>51.8</v>
      </c>
      <c r="E7" s="290">
        <v>0.72536120145444005</v>
      </c>
      <c r="F7" s="289" t="s">
        <v>363</v>
      </c>
      <c r="G7" s="291">
        <v>1.5011060823574499E-8</v>
      </c>
      <c r="H7" s="353">
        <v>2045</v>
      </c>
      <c r="I7" s="268">
        <f>ROUND(H7/SUM(H$6:H$7)*100, 1)</f>
        <v>41</v>
      </c>
      <c r="J7" s="290">
        <v>0.56486216780748599</v>
      </c>
      <c r="K7" s="289" t="s">
        <v>352</v>
      </c>
      <c r="L7" s="291">
        <v>1.9807147052657701E-4</v>
      </c>
      <c r="M7" s="353">
        <v>3719</v>
      </c>
      <c r="N7" s="268">
        <f>ROUND(M7/SUM(M$6:M$7)*100, 1)</f>
        <v>43</v>
      </c>
      <c r="O7" s="290">
        <v>0.76792396856058298</v>
      </c>
      <c r="P7" s="289" t="s">
        <v>341</v>
      </c>
      <c r="Q7" s="291">
        <v>4.10996818774658E-2</v>
      </c>
    </row>
    <row r="8" spans="2:17" ht="15.6">
      <c r="B8" s="256" t="s">
        <v>57</v>
      </c>
      <c r="C8" s="565">
        <v>24.71</v>
      </c>
      <c r="D8" s="560"/>
      <c r="E8" s="292">
        <v>0.97087469002112903</v>
      </c>
      <c r="F8" s="320" t="s">
        <v>364</v>
      </c>
      <c r="G8" s="293">
        <v>8.34387859829802E-4</v>
      </c>
      <c r="H8" s="565">
        <v>25.17</v>
      </c>
      <c r="I8" s="560"/>
      <c r="J8" s="292">
        <v>0.940582165122817</v>
      </c>
      <c r="K8" s="320" t="s">
        <v>353</v>
      </c>
      <c r="L8" s="293">
        <v>5.5966312315228802E-3</v>
      </c>
      <c r="M8" s="565">
        <v>25.43</v>
      </c>
      <c r="N8" s="560"/>
      <c r="O8" s="292">
        <v>0.99018338987245302</v>
      </c>
      <c r="P8" s="320" t="s">
        <v>342</v>
      </c>
      <c r="Q8" s="293">
        <v>0.60101777077164198</v>
      </c>
    </row>
    <row r="9" spans="2:17" ht="15.6">
      <c r="B9" s="189" t="s">
        <v>145</v>
      </c>
      <c r="C9" s="566">
        <v>200.92</v>
      </c>
      <c r="D9" s="561"/>
      <c r="E9" s="274">
        <v>0.99716921724434304</v>
      </c>
      <c r="F9" s="307" t="s">
        <v>365</v>
      </c>
      <c r="G9" s="275">
        <v>6.6978813439630901E-5</v>
      </c>
      <c r="H9" s="566">
        <v>202.2</v>
      </c>
      <c r="I9" s="561"/>
      <c r="J9" s="274">
        <v>0.99655156839371095</v>
      </c>
      <c r="K9" s="307" t="s">
        <v>354</v>
      </c>
      <c r="L9" s="275">
        <v>4.6655178497275303E-2</v>
      </c>
      <c r="M9" s="566">
        <v>195.91</v>
      </c>
      <c r="N9" s="561"/>
      <c r="O9" s="274">
        <v>0.99771096797176995</v>
      </c>
      <c r="P9" s="307" t="s">
        <v>343</v>
      </c>
      <c r="Q9" s="275">
        <v>0.13609412067135301</v>
      </c>
    </row>
    <row r="10" spans="2:17" ht="15.6">
      <c r="B10" s="189" t="s">
        <v>63</v>
      </c>
      <c r="C10" s="354">
        <v>10857</v>
      </c>
      <c r="D10" s="271">
        <f>ROUND(C10/SUM(C$10:C$11)*100, 1)</f>
        <v>41.4</v>
      </c>
      <c r="E10" s="274">
        <v>1</v>
      </c>
      <c r="F10" s="307"/>
      <c r="G10" s="275"/>
      <c r="H10" s="354">
        <v>1956</v>
      </c>
      <c r="I10" s="271">
        <f>ROUND(H10/SUM(H$10:H$11)*100, 1)</f>
        <v>39.200000000000003</v>
      </c>
      <c r="J10" s="274">
        <v>1</v>
      </c>
      <c r="K10" s="307"/>
      <c r="L10" s="275"/>
      <c r="M10" s="354">
        <v>3078</v>
      </c>
      <c r="N10" s="271">
        <f>ROUND(M10/SUM(M$10:M$11)*100, 1)</f>
        <v>35.6</v>
      </c>
      <c r="O10" s="274">
        <v>1</v>
      </c>
      <c r="P10" s="307"/>
      <c r="Q10" s="275"/>
    </row>
    <row r="11" spans="2:17" ht="15.6">
      <c r="B11" s="189"/>
      <c r="C11" s="354">
        <v>15362</v>
      </c>
      <c r="D11" s="271">
        <f t="shared" ref="D11:D20" si="0">ROUND(C11/SUM(C$6:C$7)*100, 1)</f>
        <v>58.6</v>
      </c>
      <c r="E11" s="274">
        <v>0.93289959670915801</v>
      </c>
      <c r="F11" s="307" t="s">
        <v>366</v>
      </c>
      <c r="G11" s="275">
        <v>0.20860491012416901</v>
      </c>
      <c r="H11" s="354">
        <v>3035</v>
      </c>
      <c r="I11" s="271">
        <f t="shared" ref="I11:I20" si="1">ROUND(H11/SUM(H$6:H$7)*100, 1)</f>
        <v>60.8</v>
      </c>
      <c r="J11" s="274">
        <v>0.85822514366518099</v>
      </c>
      <c r="K11" s="307" t="s">
        <v>355</v>
      </c>
      <c r="L11" s="275">
        <v>0.27689662632013501</v>
      </c>
      <c r="M11" s="354">
        <v>5571</v>
      </c>
      <c r="N11" s="271">
        <f t="shared" ref="N11:N20" si="2">ROUND(M11/SUM(M$6:M$7)*100, 1)</f>
        <v>64.400000000000006</v>
      </c>
      <c r="O11" s="274">
        <v>0.817498257990944</v>
      </c>
      <c r="P11" s="307" t="s">
        <v>344</v>
      </c>
      <c r="Q11" s="275">
        <v>0.105960812948247</v>
      </c>
    </row>
    <row r="12" spans="2:17" ht="15.6">
      <c r="B12" s="256" t="s">
        <v>67</v>
      </c>
      <c r="C12" s="355">
        <v>9998</v>
      </c>
      <c r="D12" s="271">
        <f t="shared" si="0"/>
        <v>38.1</v>
      </c>
      <c r="E12" s="292">
        <v>1</v>
      </c>
      <c r="F12" s="320"/>
      <c r="G12" s="293"/>
      <c r="H12" s="355">
        <v>1993</v>
      </c>
      <c r="I12" s="271">
        <f t="shared" si="1"/>
        <v>39.9</v>
      </c>
      <c r="J12" s="292">
        <v>1</v>
      </c>
      <c r="K12" s="320"/>
      <c r="L12" s="293"/>
      <c r="M12" s="355">
        <v>3117</v>
      </c>
      <c r="N12" s="271">
        <f t="shared" si="2"/>
        <v>36</v>
      </c>
      <c r="O12" s="292">
        <v>1</v>
      </c>
      <c r="P12" s="320"/>
      <c r="Q12" s="293"/>
    </row>
    <row r="13" spans="2:17" ht="15.6">
      <c r="B13" s="189"/>
      <c r="C13" s="354">
        <v>16221</v>
      </c>
      <c r="D13" s="271">
        <f t="shared" si="0"/>
        <v>61.9</v>
      </c>
      <c r="E13" s="274">
        <v>1.0637790572749899</v>
      </c>
      <c r="F13" s="307" t="s">
        <v>367</v>
      </c>
      <c r="G13" s="275">
        <v>0.31606651556820498</v>
      </c>
      <c r="H13" s="354">
        <v>2998</v>
      </c>
      <c r="I13" s="271">
        <f t="shared" si="1"/>
        <v>60.1</v>
      </c>
      <c r="J13" s="274">
        <v>1.0322985250318399</v>
      </c>
      <c r="K13" s="307" t="s">
        <v>356</v>
      </c>
      <c r="L13" s="275">
        <v>0.83805489454386095</v>
      </c>
      <c r="M13" s="354">
        <v>5532</v>
      </c>
      <c r="N13" s="271">
        <f t="shared" si="2"/>
        <v>64</v>
      </c>
      <c r="O13" s="274">
        <v>0.92683263340176103</v>
      </c>
      <c r="P13" s="307" t="s">
        <v>345</v>
      </c>
      <c r="Q13" s="275">
        <v>0.59294720759967701</v>
      </c>
    </row>
    <row r="14" spans="2:17" ht="15.6">
      <c r="B14" s="189" t="s">
        <v>150</v>
      </c>
      <c r="C14" s="354">
        <v>9895</v>
      </c>
      <c r="D14" s="271">
        <f t="shared" si="0"/>
        <v>37.700000000000003</v>
      </c>
      <c r="E14" s="274">
        <v>1</v>
      </c>
      <c r="F14" s="307"/>
      <c r="G14" s="275"/>
      <c r="H14" s="354">
        <v>2234</v>
      </c>
      <c r="I14" s="271">
        <f t="shared" si="1"/>
        <v>44.8</v>
      </c>
      <c r="J14" s="274">
        <v>1</v>
      </c>
      <c r="K14" s="307"/>
      <c r="L14" s="275"/>
      <c r="M14" s="354">
        <v>3825</v>
      </c>
      <c r="N14" s="271">
        <f t="shared" si="2"/>
        <v>44.2</v>
      </c>
      <c r="O14" s="274">
        <v>1</v>
      </c>
      <c r="P14" s="307"/>
      <c r="Q14" s="275"/>
    </row>
    <row r="15" spans="2:17" ht="15.6">
      <c r="B15" s="189"/>
      <c r="C15" s="354">
        <v>7647</v>
      </c>
      <c r="D15" s="271">
        <f t="shared" si="0"/>
        <v>29.2</v>
      </c>
      <c r="E15" s="274">
        <v>1.1139155223780199</v>
      </c>
      <c r="F15" s="307" t="s">
        <v>368</v>
      </c>
      <c r="G15" s="275">
        <v>0.17188803307099301</v>
      </c>
      <c r="H15" s="354">
        <v>1417</v>
      </c>
      <c r="I15" s="271">
        <f t="shared" si="1"/>
        <v>28.4</v>
      </c>
      <c r="J15" s="274">
        <v>1.23442746864928</v>
      </c>
      <c r="K15" s="307" t="s">
        <v>357</v>
      </c>
      <c r="L15" s="275">
        <v>0.25998760362193402</v>
      </c>
      <c r="M15" s="354">
        <v>2518</v>
      </c>
      <c r="N15" s="271">
        <f t="shared" si="2"/>
        <v>29.1</v>
      </c>
      <c r="O15" s="274">
        <v>1.3203928564629701</v>
      </c>
      <c r="P15" s="307" t="s">
        <v>346</v>
      </c>
      <c r="Q15" s="275">
        <v>8.6773085577752193E-2</v>
      </c>
    </row>
    <row r="16" spans="2:17" ht="15.6">
      <c r="B16" s="189"/>
      <c r="C16" s="354">
        <v>4734</v>
      </c>
      <c r="D16" s="271">
        <f t="shared" si="0"/>
        <v>18.100000000000001</v>
      </c>
      <c r="E16" s="274">
        <v>1.7455468303707899</v>
      </c>
      <c r="F16" s="307" t="s">
        <v>369</v>
      </c>
      <c r="G16" s="275">
        <v>8.1427938612108896E-12</v>
      </c>
      <c r="H16" s="354">
        <v>694</v>
      </c>
      <c r="I16" s="271">
        <f t="shared" si="1"/>
        <v>13.9</v>
      </c>
      <c r="J16" s="274">
        <v>1.6481489252721</v>
      </c>
      <c r="K16" s="307" t="s">
        <v>358</v>
      </c>
      <c r="L16" s="275">
        <v>2.03649454032378E-2</v>
      </c>
      <c r="M16" s="354">
        <v>1302</v>
      </c>
      <c r="N16" s="271">
        <f t="shared" si="2"/>
        <v>15.1</v>
      </c>
      <c r="O16" s="274">
        <v>1.2207455058510399</v>
      </c>
      <c r="P16" s="307" t="s">
        <v>347</v>
      </c>
      <c r="Q16" s="275">
        <v>0.32082423917129199</v>
      </c>
    </row>
    <row r="17" spans="2:17" ht="15.6">
      <c r="B17" s="287"/>
      <c r="C17" s="356">
        <v>3943</v>
      </c>
      <c r="D17" s="271">
        <f t="shared" si="0"/>
        <v>15</v>
      </c>
      <c r="E17" s="274">
        <v>3.14345274678523</v>
      </c>
      <c r="F17" s="307" t="s">
        <v>370</v>
      </c>
      <c r="G17" s="275">
        <v>3.2253959248802099E-52</v>
      </c>
      <c r="H17" s="356">
        <v>646</v>
      </c>
      <c r="I17" s="271">
        <f t="shared" si="1"/>
        <v>12.9</v>
      </c>
      <c r="J17" s="274">
        <v>2.777625115992</v>
      </c>
      <c r="K17" s="307" t="s">
        <v>359</v>
      </c>
      <c r="L17" s="275">
        <v>9.6338734944430805E-8</v>
      </c>
      <c r="M17" s="356">
        <v>1004</v>
      </c>
      <c r="N17" s="271">
        <f t="shared" si="2"/>
        <v>11.6</v>
      </c>
      <c r="O17" s="274">
        <v>3.2426396305787599</v>
      </c>
      <c r="P17" s="307" t="s">
        <v>348</v>
      </c>
      <c r="Q17" s="275">
        <v>2.75794770303398E-12</v>
      </c>
    </row>
    <row r="18" spans="2:17" ht="15.6">
      <c r="B18" s="297" t="s">
        <v>227</v>
      </c>
      <c r="C18" s="354">
        <v>2919</v>
      </c>
      <c r="D18" s="272">
        <f t="shared" si="0"/>
        <v>11.1</v>
      </c>
      <c r="E18" s="335">
        <v>1</v>
      </c>
      <c r="F18" s="320"/>
      <c r="G18" s="293"/>
      <c r="H18" s="354">
        <v>780</v>
      </c>
      <c r="I18" s="272">
        <f t="shared" si="1"/>
        <v>15.6</v>
      </c>
      <c r="J18" s="335">
        <v>1</v>
      </c>
      <c r="K18" s="320"/>
      <c r="L18" s="293"/>
      <c r="M18" s="354">
        <v>1076</v>
      </c>
      <c r="N18" s="272">
        <f t="shared" si="2"/>
        <v>12.4</v>
      </c>
      <c r="O18" s="335">
        <v>1</v>
      </c>
      <c r="P18" s="320"/>
      <c r="Q18" s="293"/>
    </row>
    <row r="19" spans="2:17" ht="15.6">
      <c r="B19" s="189"/>
      <c r="C19" s="354">
        <v>13025</v>
      </c>
      <c r="D19" s="271">
        <f t="shared" si="0"/>
        <v>49.7</v>
      </c>
      <c r="E19" s="284">
        <v>0.85203879664612303</v>
      </c>
      <c r="F19" s="307" t="s">
        <v>371</v>
      </c>
      <c r="G19" s="285">
        <v>7.4357959015654104E-2</v>
      </c>
      <c r="H19" s="354">
        <v>2697</v>
      </c>
      <c r="I19" s="271">
        <f t="shared" si="1"/>
        <v>54</v>
      </c>
      <c r="J19" s="284">
        <v>1.84710756684396</v>
      </c>
      <c r="K19" s="307" t="s">
        <v>360</v>
      </c>
      <c r="L19" s="285">
        <v>1.8668710221163901E-2</v>
      </c>
      <c r="M19" s="354">
        <v>4019</v>
      </c>
      <c r="N19" s="271">
        <f t="shared" si="2"/>
        <v>46.5</v>
      </c>
      <c r="O19" s="284">
        <v>1.02682838273918</v>
      </c>
      <c r="P19" s="307" t="s">
        <v>349</v>
      </c>
      <c r="Q19" s="285">
        <v>0.90358223824634898</v>
      </c>
    </row>
    <row r="20" spans="2:17" ht="15.6">
      <c r="B20" s="350"/>
      <c r="C20" s="357">
        <v>10275</v>
      </c>
      <c r="D20" s="273">
        <f t="shared" si="0"/>
        <v>39.200000000000003</v>
      </c>
      <c r="E20" s="342">
        <v>0.72407996511460004</v>
      </c>
      <c r="F20" s="305" t="s">
        <v>372</v>
      </c>
      <c r="G20" s="351">
        <v>6.8895591128835098E-4</v>
      </c>
      <c r="H20" s="357">
        <v>1514</v>
      </c>
      <c r="I20" s="273">
        <f t="shared" si="1"/>
        <v>30.3</v>
      </c>
      <c r="J20" s="342">
        <v>1.5916769670431501</v>
      </c>
      <c r="K20" s="305" t="s">
        <v>361</v>
      </c>
      <c r="L20" s="351">
        <v>9.6743475750105806E-2</v>
      </c>
      <c r="M20" s="357">
        <v>3554</v>
      </c>
      <c r="N20" s="273">
        <f t="shared" si="2"/>
        <v>41.1</v>
      </c>
      <c r="O20" s="342">
        <v>0.94352129420548403</v>
      </c>
      <c r="P20" s="305" t="s">
        <v>350</v>
      </c>
      <c r="Q20" s="351">
        <v>0.79573038569725396</v>
      </c>
    </row>
  </sheetData>
  <mergeCells count="9">
    <mergeCell ref="M8:N8"/>
    <mergeCell ref="M9:N9"/>
    <mergeCell ref="M2:Q2"/>
    <mergeCell ref="C8:D8"/>
    <mergeCell ref="C9:D9"/>
    <mergeCell ref="C2:G2"/>
    <mergeCell ref="H8:I8"/>
    <mergeCell ref="H9:I9"/>
    <mergeCell ref="H2:L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연구대상자</vt:lpstr>
      <vt:lpstr>기준</vt:lpstr>
      <vt:lpstr>metformin</vt:lpstr>
      <vt:lpstr>T1</vt:lpstr>
      <vt:lpstr>T1-1</vt:lpstr>
      <vt:lpstr>T1-2</vt:lpstr>
      <vt:lpstr>T2-1</vt:lpstr>
      <vt:lpstr>T2-2</vt:lpstr>
      <vt:lpstr>T3-1</vt:lpstr>
      <vt:lpstr>T3-2</vt:lpstr>
      <vt:lpstr>T4-a</vt:lpstr>
      <vt:lpstr>T4-b</vt:lpstr>
      <vt:lpstr>Fig3</vt:lpstr>
      <vt:lpstr>T4_cox_cancer</vt:lpstr>
      <vt:lpstr>T4_detail</vt:lpstr>
      <vt:lpstr>T5_cox_ death</vt:lpstr>
      <vt:lpstr>T5_detail</vt:lpstr>
      <vt:lpstr>Fig3_met_model_detail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</dc:creator>
  <cp:lastModifiedBy>Eunjin Ahn</cp:lastModifiedBy>
  <dcterms:created xsi:type="dcterms:W3CDTF">2021-11-05T11:31:34Z</dcterms:created>
  <dcterms:modified xsi:type="dcterms:W3CDTF">2026-09-02T00:38:13Z</dcterms:modified>
</cp:coreProperties>
</file>