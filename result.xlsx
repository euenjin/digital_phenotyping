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10" activeTab="0" autoFilterDateGrouping="1"/>
  </bookViews>
  <sheets>
    <sheet xmlns:r="http://schemas.openxmlformats.org/officeDocument/2006/relationships" name="연구대상자" sheetId="1" state="visible" r:id="rId1"/>
    <sheet xmlns:r="http://schemas.openxmlformats.org/officeDocument/2006/relationships" name="기준" sheetId="2" state="visible" r:id="rId2"/>
    <sheet xmlns:r="http://schemas.openxmlformats.org/officeDocument/2006/relationships" name="모델요약" sheetId="3" state="visible" r:id="rId3"/>
    <sheet xmlns:r="http://schemas.openxmlformats.org/officeDocument/2006/relationships" name="T1_특성_RHR" sheetId="4" state="visible" r:id="rId4"/>
    <sheet xmlns:r="http://schemas.openxmlformats.org/officeDocument/2006/relationships" name="T2_심박수_OR" sheetId="5" state="visible" r:id="rId5"/>
    <sheet xmlns:r="http://schemas.openxmlformats.org/officeDocument/2006/relationships" name="T3_전체모델_OR" sheetId="6" state="visible" r:id="rId6"/>
    <sheet xmlns:r="http://schemas.openxmlformats.org/officeDocument/2006/relationships" name="T4_PHQ_RHR_교차표" sheetId="7" state="visible" r:id="rId7"/>
    <sheet xmlns:r="http://schemas.openxmlformats.org/officeDocument/2006/relationships" name="변수정의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0.0%"/>
    <numFmt numFmtId="165" formatCode="#,##0.000;[Red]#,##0.000"/>
    <numFmt numFmtId="166" formatCode="#,##0.000"/>
    <numFmt numFmtId="167" formatCode="000\-000"/>
    <numFmt numFmtId="168" formatCode="#,##0.0"/>
    <numFmt numFmtId="169" formatCode="0.000_);[Red]\(0.000\)"/>
    <numFmt numFmtId="170" formatCode="0.0"/>
    <numFmt numFmtId="171" formatCode="0.0_);[Red]\(0.0\)"/>
    <numFmt numFmtId="172" formatCode="_-* #,##0_-;\-* #,##0_-;_-* &quot;-&quot;_-;_-@_-"/>
    <numFmt numFmtId="173" formatCode="0.0_ "/>
    <numFmt numFmtId="174" formatCode="0.000"/>
  </numFmts>
  <fonts count="122">
    <font>
      <name val="Calibri"/>
      <charset val="129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29"/>
      <family val="2"/>
      <color theme="1"/>
      <sz val="11"/>
      <scheme val="minor"/>
    </font>
    <font>
      <name val="Cambria"/>
      <family val="1"/>
      <color theme="1"/>
      <sz val="11"/>
    </font>
    <font>
      <name val="Calibri"/>
      <charset val="129"/>
      <family val="2"/>
      <sz val="8"/>
      <scheme val="minor"/>
    </font>
    <font>
      <name val="Cambria"/>
      <family val="1"/>
      <color rgb="FF000000"/>
      <sz val="11"/>
    </font>
    <font>
      <name val="맑은 고딕"/>
      <charset val="129"/>
      <family val="3"/>
      <color rgb="FFFF0000"/>
      <sz val="11"/>
    </font>
    <font>
      <name val="Cambria"/>
      <family val="1"/>
      <color rgb="FFFF0000"/>
      <sz val="11"/>
    </font>
    <font>
      <name val="맑은 고딕"/>
      <charset val="129"/>
      <family val="1"/>
      <color rgb="FFFF0000"/>
      <sz val="11"/>
    </font>
    <font>
      <name val="맑은 고딕"/>
      <charset val="129"/>
      <family val="3"/>
      <color rgb="FF000000"/>
      <sz val="11"/>
    </font>
    <font>
      <name val="Cambria"/>
      <family val="1"/>
      <i val="1"/>
      <color rgb="FF000000"/>
      <sz val="11"/>
    </font>
    <font>
      <name val="맑은 고딕"/>
      <charset val="129"/>
      <family val="3"/>
      <color theme="1"/>
      <sz val="11"/>
    </font>
    <font>
      <name val="Cambria"/>
      <family val="1"/>
      <sz val="11"/>
    </font>
    <font>
      <name val="Cambria"/>
      <family val="1"/>
      <b val="1"/>
      <color rgb="FFFF0000"/>
      <sz val="11"/>
    </font>
    <font>
      <name val="Cambria"/>
      <family val="1"/>
      <sz val="10.5"/>
    </font>
    <font>
      <name val="Calibri"/>
      <charset val="129"/>
      <family val="2"/>
      <color theme="1"/>
      <sz val="10.5"/>
      <scheme val="minor"/>
    </font>
    <font>
      <name val="Cambria"/>
      <family val="1"/>
      <color theme="1"/>
      <sz val="10.5"/>
    </font>
    <font>
      <name val="Cambria"/>
      <family val="1"/>
      <sz val="10.5"/>
      <vertAlign val="superscript"/>
    </font>
    <font>
      <name val="Cambria"/>
      <family val="1"/>
      <i val="1"/>
      <sz val="10.5"/>
    </font>
    <font>
      <name val="Cambria"/>
      <family val="1"/>
      <i val="1"/>
      <color rgb="FFFF0000"/>
      <sz val="10.5"/>
    </font>
    <font>
      <name val="Cambria"/>
      <family val="1"/>
      <color rgb="FFFF0000"/>
      <sz val="10.5"/>
    </font>
    <font>
      <name val="Cambria"/>
      <family val="1"/>
      <i val="1"/>
      <color theme="1"/>
      <sz val="9"/>
    </font>
    <font>
      <name val="Cambria"/>
      <family val="1"/>
      <i val="1"/>
      <sz val="9"/>
    </font>
    <font>
      <name val="Cambria"/>
      <family val="1"/>
      <color theme="1"/>
      <sz val="9"/>
    </font>
    <font>
      <name val="바탕"/>
      <charset val="129"/>
      <family val="1"/>
      <i val="1"/>
      <sz val="9"/>
    </font>
    <font>
      <name val="바탕"/>
      <charset val="129"/>
      <family val="1"/>
      <color theme="1"/>
      <sz val="11"/>
    </font>
    <font>
      <name val="Calibri"/>
      <charset val="129"/>
      <family val="3"/>
      <color theme="1"/>
      <sz val="11"/>
      <scheme val="minor"/>
    </font>
    <font>
      <name val="Cambria"/>
      <charset val="129"/>
      <family val="3"/>
      <color rgb="FF000000"/>
      <sz val="11"/>
    </font>
    <font>
      <name val="Cambria"/>
      <charset val="129"/>
      <family val="3"/>
      <color rgb="FFFF0000"/>
      <sz val="11"/>
    </font>
    <font>
      <name val="Arial Unicode MS"/>
      <charset val="129"/>
      <family val="1"/>
      <color rgb="FFFF0000"/>
      <sz val="11"/>
    </font>
    <font>
      <name val="Cambria"/>
      <family val="1"/>
      <color theme="1"/>
      <sz val="10.5"/>
      <vertAlign val="superscript"/>
    </font>
    <font>
      <name val="Cambria"/>
      <family val="1"/>
      <i val="1"/>
      <color theme="1"/>
      <sz val="10.5"/>
    </font>
    <font>
      <name val="Calibri"/>
      <charset val="129"/>
      <family val="3"/>
      <color theme="1"/>
      <sz val="10.5"/>
      <scheme val="minor"/>
    </font>
    <font>
      <name val="Cambria"/>
      <family val="1"/>
      <color rgb="FF000000"/>
      <sz val="10.5"/>
    </font>
    <font>
      <name val="Calibri"/>
      <charset val="129"/>
      <family val="3"/>
      <color rgb="FFFF0000"/>
      <sz val="10.5"/>
      <scheme val="minor"/>
    </font>
    <font>
      <name val="Cambria"/>
      <family val="1"/>
      <i val="1"/>
      <color rgb="FF000000"/>
      <sz val="10.5"/>
    </font>
    <font>
      <name val="바탕"/>
      <charset val="129"/>
      <family val="1"/>
      <i val="1"/>
      <sz val="10.5"/>
    </font>
    <font>
      <name val="바탕"/>
      <charset val="129"/>
      <family val="1"/>
      <i val="1"/>
      <color rgb="FF000000"/>
      <sz val="10.5"/>
    </font>
    <font>
      <name val="바탕"/>
      <charset val="129"/>
      <family val="1"/>
      <i val="1"/>
      <color theme="1"/>
      <sz val="10.5"/>
    </font>
    <font>
      <name val="Cambria"/>
      <family val="1"/>
      <i val="1"/>
      <color rgb="FF000000"/>
      <sz val="9"/>
    </font>
    <font>
      <name val="Cambria"/>
      <family val="1"/>
      <i val="1"/>
      <color rgb="FF000000"/>
      <sz val="9"/>
      <vertAlign val="superscript"/>
    </font>
    <font>
      <name val="Calibri"/>
      <charset val="129"/>
      <family val="3"/>
      <i val="1"/>
      <color rgb="FFFF0000"/>
      <sz val="9"/>
      <scheme val="minor"/>
    </font>
    <font>
      <name val="Calibri"/>
      <charset val="129"/>
      <family val="3"/>
      <i val="1"/>
      <color rgb="FFFF0000"/>
      <sz val="10.5"/>
      <scheme val="minor"/>
    </font>
    <font>
      <name val="Arial Unicode MS"/>
      <charset val="129"/>
      <family val="1"/>
      <color rgb="FF000000"/>
      <sz val="10.5"/>
    </font>
    <font>
      <name val="Arial Unicode MS"/>
      <charset val="129"/>
      <family val="1"/>
      <i val="1"/>
      <color theme="1"/>
      <sz val="10.5"/>
    </font>
    <font>
      <name val="camb"/>
      <family val="1"/>
      <color rgb="FFFF0000"/>
      <sz val="11"/>
    </font>
    <font>
      <name val="Cambria"/>
      <family val="1"/>
      <b val="1"/>
      <color theme="1"/>
      <sz val="16"/>
    </font>
    <font>
      <name val="바탕"/>
      <charset val="129"/>
      <family val="1"/>
      <b val="1"/>
      <color theme="1"/>
      <sz val="16"/>
    </font>
    <font>
      <name val="바탕"/>
      <charset val="129"/>
      <family val="1"/>
      <sz val="11"/>
      <vertAlign val="superscript"/>
    </font>
    <font>
      <name val="맑은 고딕"/>
      <charset val="129"/>
      <family val="3"/>
      <color rgb="FFFF0000"/>
      <sz val="10.5"/>
    </font>
    <font>
      <name val="Calibri"/>
      <charset val="129"/>
      <family val="2"/>
      <color rgb="FFFF0000"/>
      <sz val="11"/>
      <scheme val="minor"/>
    </font>
    <font>
      <name val="Calibri"/>
      <charset val="129"/>
      <family val="2"/>
      <sz val="10.5"/>
      <scheme val="minor"/>
    </font>
    <font>
      <name val="Cambria"/>
      <family val="1"/>
      <i val="1"/>
      <sz val="9"/>
      <vertAlign val="superscript"/>
    </font>
    <font>
      <name val="Cambria"/>
      <family val="1"/>
      <b val="1"/>
      <color rgb="FFFF0000"/>
      <sz val="10.5"/>
    </font>
    <font>
      <name val="바탕"/>
      <charset val="129"/>
      <family val="1"/>
      <b val="1"/>
      <color rgb="FFFF0000"/>
      <sz val="10.5"/>
    </font>
    <font>
      <name val="Calibri"/>
      <family val="2"/>
      <color theme="1"/>
      <sz val="11"/>
    </font>
    <font>
      <name val="맑은 고딕"/>
      <charset val="129"/>
      <family val="3"/>
      <color rgb="FF000000"/>
      <sz val="10.5"/>
    </font>
    <font>
      <name val="cambri"/>
      <b val="1"/>
      <color rgb="FFFF0000"/>
      <sz val="11"/>
    </font>
    <font>
      <name val="Arial Unicode MS"/>
      <charset val="129"/>
      <family val="1"/>
      <b val="1"/>
      <color rgb="FFFF0000"/>
      <sz val="11"/>
    </font>
    <font>
      <name val="cambri"/>
      <family val="1"/>
      <b val="1"/>
      <color rgb="FFFF0000"/>
      <sz val="11"/>
    </font>
    <font>
      <name val="Arial Unicode MS"/>
      <charset val="129"/>
      <family val="1"/>
      <b val="1"/>
      <color rgb="FFFF0000"/>
      <sz val="10.5"/>
    </font>
    <font>
      <name val="맑은 고딕"/>
      <charset val="129"/>
      <family val="1"/>
      <b val="1"/>
      <color rgb="FFFF0000"/>
      <sz val="10.5"/>
    </font>
    <font>
      <name val="Palatino Linotype"/>
      <family val="1"/>
      <color theme="1"/>
      <sz val="10.5"/>
    </font>
    <font>
      <name val="Palatino Linotype"/>
      <family val="1"/>
      <i val="1"/>
      <sz val="10.5"/>
    </font>
    <font>
      <name val="Palatino Linotype"/>
      <family val="1"/>
      <sz val="10.5"/>
    </font>
    <font>
      <name val="Palatino Linotype"/>
      <family val="1"/>
      <color rgb="FFFF0000"/>
      <sz val="10.5"/>
    </font>
    <font>
      <name val="Calibri"/>
      <charset val="129"/>
      <family val="3"/>
      <b val="1"/>
      <color theme="1"/>
      <sz val="11"/>
      <scheme val="minor"/>
    </font>
    <font>
      <name val="Cambria"/>
      <family val="1"/>
      <b val="1"/>
      <color theme="1"/>
      <sz val="10.5"/>
    </font>
    <font>
      <name val="Cambria"/>
      <family val="1"/>
      <color theme="1"/>
      <sz val="10"/>
    </font>
    <font>
      <name val="Cambria"/>
      <family val="1"/>
      <i val="1"/>
      <color theme="1"/>
      <sz val="10"/>
    </font>
    <font>
      <name val="Calibri"/>
      <charset val="129"/>
      <family val="3"/>
      <color theme="1"/>
      <sz val="10"/>
      <scheme val="minor"/>
    </font>
    <font>
      <name val="Calibri"/>
      <charset val="129"/>
      <family val="2"/>
      <color theme="1"/>
      <sz val="10"/>
      <scheme val="minor"/>
    </font>
    <font>
      <name val="바탕"/>
      <charset val="129"/>
      <family val="1"/>
      <color theme="1"/>
      <sz val="10"/>
    </font>
    <font>
      <name val="Cambria"/>
      <family val="1"/>
      <sz val="10"/>
    </font>
    <font>
      <name val="Calibri"/>
      <charset val="129"/>
      <family val="3"/>
      <sz val="10"/>
      <scheme val="minor"/>
    </font>
    <font>
      <name val="Calibri"/>
      <charset val="129"/>
      <family val="3"/>
      <color rgb="FFFF0000"/>
      <sz val="10"/>
      <scheme val="minor"/>
    </font>
    <font>
      <name val="Calibri"/>
      <charset val="129"/>
      <family val="2"/>
      <i val="1"/>
      <color theme="1"/>
      <sz val="10"/>
      <scheme val="minor"/>
    </font>
    <font>
      <name val="Cambria"/>
      <family val="1"/>
      <color rgb="FF000000"/>
      <sz val="10"/>
    </font>
    <font>
      <name val="Calibri"/>
      <charset val="129"/>
      <family val="2"/>
      <color rgb="FF0000CC"/>
      <sz val="11"/>
      <scheme val="minor"/>
    </font>
    <font>
      <name val="Calibri"/>
      <charset val="129"/>
      <family val="2"/>
      <color theme="1"/>
      <sz val="9"/>
      <scheme val="minor"/>
    </font>
    <font>
      <name val="Palatino Linotype"/>
      <family val="1"/>
      <sz val="10.5"/>
      <vertAlign val="superscript"/>
    </font>
    <font>
      <name val="Palatino Linotype"/>
      <family val="1"/>
      <i val="1"/>
      <sz val="10.5"/>
      <vertAlign val="superscript"/>
    </font>
    <font>
      <name val="Calibri"/>
      <charset val="129"/>
      <family val="3"/>
      <sz val="10.5"/>
      <scheme val="minor"/>
    </font>
    <font>
      <name val="Arial Unicode MS"/>
      <charset val="129"/>
      <family val="1"/>
      <color rgb="FFFF0000"/>
      <sz val="10.5"/>
    </font>
    <font>
      <name val="Cambria"/>
      <family val="1"/>
      <i val="1"/>
      <color theme="1"/>
      <sz val="9"/>
      <vertAlign val="superscript"/>
    </font>
    <font>
      <name val="Palatino Linotype"/>
      <family val="1"/>
      <color rgb="FF000000"/>
      <sz val="10.5"/>
    </font>
    <font>
      <name val="Palatino Linotype"/>
      <family val="1"/>
      <color rgb="FF000000"/>
      <sz val="10.5"/>
      <vertAlign val="superscript"/>
    </font>
    <font>
      <name val="Palatino Linotype"/>
      <family val="1"/>
      <i val="1"/>
      <color rgb="FF000000"/>
      <sz val="10.5"/>
    </font>
    <font>
      <name val="맑은 고딕"/>
      <charset val="129"/>
      <family val="3"/>
      <i val="1"/>
      <color rgb="FF000000"/>
      <sz val="10.5"/>
    </font>
    <font>
      <name val="Palatino Linotype"/>
      <family val="1"/>
      <i val="1"/>
      <color rgb="FF000000"/>
      <sz val="9"/>
      <vertAlign val="superscript"/>
    </font>
    <font>
      <name val="Palatino Linotype"/>
      <family val="1"/>
      <i val="1"/>
      <color rgb="FF000000"/>
      <sz val="9"/>
    </font>
    <font>
      <name val="Times New Roman"/>
      <family val="1"/>
      <color theme="1"/>
      <sz val="10"/>
    </font>
    <font>
      <name val="Palatino Linotype"/>
      <family val="1"/>
      <color theme="1"/>
      <sz val="10.5"/>
      <vertAlign val="superscript"/>
    </font>
    <font>
      <name val="Palatino Linotype"/>
      <family val="1"/>
      <i val="1"/>
      <color theme="1"/>
      <sz val="10.5"/>
    </font>
    <font>
      <name val="Palatino Linotype"/>
      <family val="1"/>
      <color theme="1"/>
      <sz val="11"/>
    </font>
    <font>
      <name val="Palatino Linotype"/>
      <family val="1"/>
      <i val="1"/>
      <color rgb="FFFF0000"/>
      <sz val="10.5"/>
    </font>
    <font>
      <name val="Palatino Linotype"/>
      <family val="1"/>
      <color rgb="FFFF0000"/>
      <sz val="11"/>
    </font>
    <font>
      <name val="Palatino Linotype"/>
      <family val="1"/>
      <color rgb="FF000000"/>
      <sz val="9"/>
    </font>
    <font>
      <name val="Palatino Linotype"/>
      <family val="1"/>
      <color rgb="FF000000"/>
      <sz val="9"/>
      <vertAlign val="superscript"/>
    </font>
    <font>
      <name val="맑은 고딕"/>
      <charset val="129"/>
      <family val="3"/>
      <color theme="1"/>
      <sz val="10.5"/>
    </font>
    <font>
      <name val="맑은 고딕"/>
      <charset val="129"/>
      <family val="3"/>
      <i val="1"/>
      <color theme="1"/>
      <sz val="10.5"/>
    </font>
    <font>
      <name val="Palatino Linotype"/>
      <family val="1"/>
      <i val="1"/>
      <color theme="1"/>
      <sz val="9"/>
      <vertAlign val="superscript"/>
    </font>
    <font>
      <name val="Palatino Linotype"/>
      <family val="1"/>
      <i val="1"/>
      <color theme="1"/>
      <sz val="9"/>
    </font>
    <font>
      <name val="바탕"/>
      <charset val="129"/>
      <family val="1"/>
      <i val="1"/>
      <color theme="1"/>
      <sz val="9"/>
    </font>
    <font>
      <name val="Palatino Linotype"/>
      <family val="1"/>
      <b val="1"/>
      <color rgb="FFFF0000"/>
      <sz val="11"/>
    </font>
    <font>
      <name val="Palatino Linotype"/>
      <family val="1"/>
      <b val="1"/>
      <color rgb="FFFF0000"/>
      <sz val="10.5"/>
    </font>
    <font>
      <name val="Palatino Linotype"/>
      <family val="1"/>
      <sz val="11"/>
    </font>
    <font>
      <name val="Palatino Linotype"/>
      <family val="1"/>
      <color theme="1"/>
      <sz val="9"/>
    </font>
    <font>
      <name val="Palatino Linotype"/>
      <family val="1"/>
      <i val="1"/>
      <sz val="9"/>
    </font>
    <font>
      <name val="Palatino Linotype"/>
      <family val="1"/>
      <i val="1"/>
      <sz val="9"/>
      <vertAlign val="superscript"/>
    </font>
    <font>
      <name val="Calibri"/>
      <family val="2"/>
      <color theme="1"/>
      <sz val="9"/>
    </font>
    <font>
      <name val="Calibri"/>
      <family val="2"/>
      <color theme="1"/>
      <sz val="10.5"/>
    </font>
    <font>
      <name val="Times New Roman"/>
      <family val="1"/>
      <i val="1"/>
      <color theme="1"/>
      <sz val="10"/>
    </font>
    <font>
      <name val="Calibri"/>
      <charset val="129"/>
      <family val="2"/>
      <i val="1"/>
      <color theme="1"/>
      <sz val="11"/>
      <scheme val="minor"/>
    </font>
    <font>
      <name val="Calibri"/>
      <charset val="129"/>
      <family val="2"/>
      <i val="1"/>
      <color theme="1"/>
      <sz val="9"/>
      <scheme val="minor"/>
    </font>
    <font>
      <name val="Calibri"/>
      <family val="2"/>
      <i val="1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Malgun Gothic"/>
      <sz val="10"/>
    </font>
    <font>
      <name val="Malgun Gothic"/>
      <b val="1"/>
      <sz val="10"/>
    </font>
  </fonts>
  <fills count="14">
    <fill>
      <patternFill/>
    </fill>
    <fill>
      <patternFill patternType="gray125"/>
    </fill>
    <fill>
      <patternFill patternType="solid">
        <fgColor rgb="FFF4B08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D9EAD3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double">
        <color auto="1"/>
      </bottom>
      <diagonal/>
    </border>
    <border>
      <left style="thin">
        <color indexed="64"/>
      </left>
      <right/>
      <top/>
      <bottom style="double">
        <color auto="1"/>
      </bottom>
      <diagonal/>
    </border>
    <border>
      <left/>
      <right style="thin">
        <color indexed="64"/>
      </right>
      <top style="double">
        <color auto="1"/>
      </top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 style="thin">
        <color theme="1"/>
      </top>
      <bottom style="double">
        <color indexed="64"/>
      </bottom>
      <diagonal/>
    </border>
    <border>
      <left/>
      <right/>
      <top style="medium">
        <color auto="1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thin">
        <color auto="1"/>
      </top>
      <bottom/>
      <diagonal/>
    </border>
    <border>
      <left/>
      <right style="dotted">
        <color indexed="64"/>
      </right>
      <top/>
      <bottom style="double">
        <color auto="1"/>
      </bottom>
      <diagonal/>
    </border>
    <border>
      <left/>
      <right style="dotted">
        <color indexed="64"/>
      </right>
      <top/>
      <bottom style="dotted">
        <color auto="1"/>
      </bottom>
      <diagonal/>
    </border>
    <border>
      <left/>
      <right style="dotted">
        <color indexed="64"/>
      </right>
      <top style="dotted">
        <color auto="1"/>
      </top>
      <bottom/>
      <diagonal/>
    </border>
    <border>
      <left style="dotted">
        <color indexed="64"/>
      </left>
      <right/>
      <top style="thin">
        <color auto="1"/>
      </top>
      <bottom/>
      <diagonal/>
    </border>
    <border>
      <left style="dotted">
        <color indexed="64"/>
      </left>
      <right/>
      <top/>
      <bottom style="double">
        <color auto="1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dotted">
        <color auto="1"/>
      </bottom>
      <diagonal/>
    </border>
    <border>
      <left style="dotted">
        <color indexed="64"/>
      </left>
      <right/>
      <top style="dotted">
        <color auto="1"/>
      </top>
      <bottom/>
      <diagonal/>
    </border>
    <border>
      <left style="dotted">
        <color auto="1"/>
      </left>
      <right/>
      <top/>
      <bottom style="thin">
        <color auto="1"/>
      </bottom>
      <diagonal/>
    </border>
    <border>
      <left/>
      <right style="dotted">
        <color auto="1"/>
      </right>
      <top/>
      <bottom style="thin">
        <color auto="1"/>
      </bottom>
      <diagonal/>
    </border>
    <border>
      <left style="thin">
        <color indexed="64"/>
      </left>
      <right/>
      <top style="dotted">
        <color auto="1"/>
      </top>
      <bottom/>
      <diagonal/>
    </border>
    <border>
      <left style="thin">
        <color indexed="64"/>
      </left>
      <right/>
      <top/>
      <bottom style="dotted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auto="1"/>
      </bottom>
      <diagonal/>
    </border>
    <border>
      <left/>
      <right style="hair">
        <color indexed="64"/>
      </right>
      <top/>
      <bottom style="thin">
        <color auto="1"/>
      </bottom>
      <diagonal/>
    </border>
    <border>
      <left/>
      <right style="hair">
        <color indexed="64"/>
      </right>
      <top style="double">
        <color auto="1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auto="1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 style="thin">
        <color indexed="64"/>
      </top>
      <bottom/>
      <diagonal/>
    </border>
    <border>
      <bottom style="thin">
        <color rgb="00D9D9D9"/>
      </bottom>
    </border>
  </borders>
  <cellStyleXfs count="4">
    <xf numFmtId="0" fontId="2" fillId="0" borderId="0" applyAlignment="1">
      <alignment vertical="center"/>
    </xf>
    <xf numFmtId="9" fontId="2" fillId="0" borderId="0" applyAlignment="1">
      <alignment vertical="center"/>
    </xf>
    <xf numFmtId="172" fontId="2" fillId="0" borderId="0" applyAlignment="1">
      <alignment vertical="center"/>
    </xf>
    <xf numFmtId="172" fontId="2" fillId="0" borderId="0" applyAlignment="1">
      <alignment vertical="center"/>
    </xf>
  </cellStyleXfs>
  <cellXfs count="587"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0" borderId="9" applyAlignment="1" pivotButton="0" quotePrefix="0" xfId="0">
      <alignment horizontal="right" vertical="center"/>
    </xf>
    <xf numFmtId="164" fontId="3" fillId="0" borderId="9" applyAlignment="1" pivotButton="0" quotePrefix="0" xfId="1">
      <alignment horizontal="right" vertical="center"/>
    </xf>
    <xf numFmtId="0" fontId="10" fillId="0" borderId="2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4" fontId="3" fillId="0" borderId="11" applyAlignment="1" pivotButton="0" quotePrefix="0" xfId="1">
      <alignment horizontal="right" vertical="center"/>
    </xf>
    <xf numFmtId="0" fontId="13" fillId="0" borderId="0" applyAlignment="1" pivotButton="0" quotePrefix="0" xfId="0">
      <alignment vertical="center"/>
    </xf>
    <xf numFmtId="164" fontId="13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14" fillId="0" borderId="8" applyAlignment="1" pivotButton="0" quotePrefix="0" xfId="0">
      <alignment horizontal="center" vertical="center"/>
    </xf>
    <xf numFmtId="0" fontId="18" fillId="0" borderId="8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13" applyAlignment="1" pivotButton="0" quotePrefix="0" xfId="0">
      <alignment vertical="center"/>
    </xf>
    <xf numFmtId="0" fontId="14" fillId="0" borderId="13" applyAlignment="1" pivotButton="0" quotePrefix="0" xfId="0">
      <alignment horizontal="center" vertical="center"/>
    </xf>
    <xf numFmtId="165" fontId="14" fillId="0" borderId="13" applyAlignment="1" pivotButton="0" quotePrefix="0" xfId="0">
      <alignment vertical="center"/>
    </xf>
    <xf numFmtId="166" fontId="14" fillId="0" borderId="13" applyAlignment="1" pivotButton="0" quotePrefix="0" xfId="0">
      <alignment vertical="center"/>
    </xf>
    <xf numFmtId="0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165" fontId="14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7" fontId="22" fillId="0" borderId="0" applyAlignment="1" pivotButton="0" quotePrefix="0" xfId="0">
      <alignment horizontal="left" vertical="center"/>
    </xf>
    <xf numFmtId="167" fontId="22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16" fillId="0" borderId="14" applyAlignment="1" pivotButton="0" quotePrefix="0" xfId="0">
      <alignment vertical="center"/>
    </xf>
    <xf numFmtId="0" fontId="10" fillId="4" borderId="9" applyAlignment="1" pivotButton="0" quotePrefix="0" xfId="0">
      <alignment horizontal="right" vertical="center"/>
    </xf>
    <xf numFmtId="0" fontId="3" fillId="4" borderId="0" applyAlignment="1" pivotButton="0" quotePrefix="0" xfId="0">
      <alignment vertical="center"/>
    </xf>
    <xf numFmtId="164" fontId="3" fillId="4" borderId="9" applyAlignment="1" pivotButton="0" quotePrefix="0" xfId="1">
      <alignment horizontal="right" vertical="center"/>
    </xf>
    <xf numFmtId="0" fontId="10" fillId="4" borderId="1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164" fontId="3" fillId="4" borderId="11" applyAlignment="1" pivotButton="0" quotePrefix="0" xfId="1">
      <alignment horizontal="right" vertical="center"/>
    </xf>
    <xf numFmtId="0" fontId="2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27" fillId="2" borderId="2" applyAlignment="1" pivotButton="0" quotePrefix="0" xfId="0">
      <alignment horizontal="center" vertical="center"/>
    </xf>
    <xf numFmtId="0" fontId="28" fillId="0" borderId="0" applyAlignment="1" pivotButton="0" quotePrefix="0" xfId="0">
      <alignment vertical="center"/>
    </xf>
    <xf numFmtId="0" fontId="3" fillId="4" borderId="10" applyAlignment="1" pivotButton="0" quotePrefix="0" xfId="0">
      <alignment horizontal="right" vertical="center"/>
    </xf>
    <xf numFmtId="0" fontId="3" fillId="6" borderId="0" applyAlignment="1" pivotButton="0" quotePrefix="0" xfId="0">
      <alignment vertical="center"/>
    </xf>
    <xf numFmtId="0" fontId="3" fillId="7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31" fillId="0" borderId="12" applyAlignment="1" pivotButton="0" quotePrefix="0" xfId="0">
      <alignment vertical="center"/>
    </xf>
    <xf numFmtId="0" fontId="32" fillId="0" borderId="12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3" fillId="0" borderId="0" applyAlignment="1" pivotButton="0" quotePrefix="0" xfId="0">
      <alignment horizontal="center" vertical="center"/>
    </xf>
    <xf numFmtId="0" fontId="31" fillId="0" borderId="8" applyAlignment="1" pivotButton="0" quotePrefix="0" xfId="0">
      <alignment vertical="center"/>
    </xf>
    <xf numFmtId="0" fontId="33" fillId="0" borderId="8" applyAlignment="1" pivotButton="0" quotePrefix="0" xfId="0">
      <alignment horizontal="center" vertical="center"/>
    </xf>
    <xf numFmtId="3" fontId="33" fillId="0" borderId="8" applyAlignment="1" pivotButton="0" quotePrefix="0" xfId="0">
      <alignment horizontal="center" vertical="center"/>
    </xf>
    <xf numFmtId="0" fontId="33" fillId="0" borderId="13" applyAlignment="1" pivotButton="0" quotePrefix="0" xfId="0">
      <alignment horizontal="center" vertical="center"/>
    </xf>
    <xf numFmtId="3" fontId="33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right" vertical="center"/>
    </xf>
    <xf numFmtId="3" fontId="33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justify" vertical="center"/>
    </xf>
    <xf numFmtId="0" fontId="14" fillId="0" borderId="16" applyAlignment="1" pivotButton="0" quotePrefix="0" xfId="0">
      <alignment horizontal="justify" vertical="center"/>
    </xf>
    <xf numFmtId="0" fontId="18" fillId="0" borderId="16" applyAlignment="1" pivotButton="0" quotePrefix="0" xfId="0">
      <alignment horizontal="right" vertical="center"/>
    </xf>
    <xf numFmtId="3" fontId="33" fillId="0" borderId="16" applyAlignment="1" pivotButton="0" quotePrefix="0" xfId="0">
      <alignment horizontal="right" vertical="center"/>
    </xf>
    <xf numFmtId="168" fontId="16" fillId="0" borderId="0" applyAlignment="1" pivotButton="0" quotePrefix="0" xfId="0">
      <alignment vertical="center"/>
    </xf>
    <xf numFmtId="0" fontId="35" fillId="0" borderId="16" applyAlignment="1" pivotButton="0" quotePrefix="0" xfId="0">
      <alignment horizontal="right" vertical="center"/>
    </xf>
    <xf numFmtId="0" fontId="33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center"/>
    </xf>
    <xf numFmtId="0" fontId="31" fillId="0" borderId="0" applyAlignment="1" pivotButton="0" quotePrefix="0" xfId="0">
      <alignment horizontal="right" vertical="center"/>
    </xf>
    <xf numFmtId="0" fontId="31" fillId="0" borderId="0" applyAlignment="1" pivotButton="0" quotePrefix="0" xfId="0">
      <alignment horizontal="left" vertical="center"/>
    </xf>
    <xf numFmtId="0" fontId="16" fillId="0" borderId="15" applyAlignment="1" pivotButton="0" quotePrefix="0" xfId="0">
      <alignment vertical="center"/>
    </xf>
    <xf numFmtId="0" fontId="31" fillId="0" borderId="16" applyAlignment="1" pivotButton="0" quotePrefix="0" xfId="0">
      <alignment vertical="center"/>
    </xf>
    <xf numFmtId="0" fontId="16" fillId="0" borderId="16" applyAlignment="1" pivotButton="0" quotePrefix="0" xfId="0">
      <alignment vertical="center"/>
    </xf>
    <xf numFmtId="0" fontId="31" fillId="0" borderId="16" applyAlignment="1" pivotButton="0" quotePrefix="0" xfId="0">
      <alignment horizontal="right" vertical="center"/>
    </xf>
    <xf numFmtId="0" fontId="31" fillId="0" borderId="14" applyAlignment="1" pivotButton="0" quotePrefix="0" xfId="0">
      <alignment vertical="center"/>
    </xf>
    <xf numFmtId="0" fontId="31" fillId="0" borderId="14" applyAlignment="1" pivotButton="0" quotePrefix="0" xfId="0">
      <alignment horizontal="right" vertical="center"/>
    </xf>
    <xf numFmtId="3" fontId="33" fillId="0" borderId="14" applyAlignment="1" pivotButton="0" quotePrefix="0" xfId="0">
      <alignment horizontal="right" vertical="center"/>
    </xf>
    <xf numFmtId="0" fontId="35" fillId="0" borderId="14" applyAlignment="1" pivotButton="0" quotePrefix="0" xfId="0">
      <alignment horizontal="center" vertical="center"/>
    </xf>
    <xf numFmtId="0" fontId="33" fillId="0" borderId="14" applyAlignment="1" pivotButton="0" quotePrefix="0" xfId="0">
      <alignment horizontal="center" vertical="center"/>
    </xf>
    <xf numFmtId="0" fontId="39" fillId="0" borderId="12" applyAlignment="1" pivotButton="0" quotePrefix="0" xfId="0">
      <alignment horizontal="left" vertical="center"/>
    </xf>
    <xf numFmtId="0" fontId="21" fillId="0" borderId="12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/>
    </xf>
    <xf numFmtId="0" fontId="41" fillId="0" borderId="0" applyAlignment="1" pivotButton="0" quotePrefix="0" xfId="0">
      <alignment vertical="center"/>
    </xf>
    <xf numFmtId="0" fontId="35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vertical="center"/>
    </xf>
    <xf numFmtId="168" fontId="33" fillId="0" borderId="0" applyAlignment="1" pivotButton="0" quotePrefix="0" xfId="0">
      <alignment horizontal="right" vertical="center"/>
    </xf>
    <xf numFmtId="3" fontId="20" fillId="0" borderId="0" applyAlignment="1" pivotButton="0" quotePrefix="0" xfId="0">
      <alignment horizontal="right" vertical="center"/>
    </xf>
    <xf numFmtId="168" fontId="20" fillId="0" borderId="0" applyAlignment="1" pivotButton="0" quotePrefix="0" xfId="0">
      <alignment horizontal="right" vertical="center"/>
    </xf>
    <xf numFmtId="0" fontId="35" fillId="0" borderId="15" applyAlignment="1" pivotButton="0" quotePrefix="0" xfId="0">
      <alignment horizontal="right" vertical="center"/>
    </xf>
    <xf numFmtId="3" fontId="33" fillId="0" borderId="15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8" fillId="0" borderId="14" applyAlignment="1" pivotButton="0" quotePrefix="0" xfId="0">
      <alignment horizontal="left" vertical="center"/>
    </xf>
    <xf numFmtId="169" fontId="14" fillId="0" borderId="0" applyAlignment="1" pivotButton="0" quotePrefix="0" xfId="0">
      <alignment vertical="center"/>
    </xf>
    <xf numFmtId="166" fontId="14" fillId="0" borderId="14" applyAlignment="1" pivotButton="0" quotePrefix="0" xfId="0">
      <alignment vertical="center"/>
    </xf>
    <xf numFmtId="0" fontId="14" fillId="0" borderId="14" applyAlignment="1" pivotButton="0" quotePrefix="0" xfId="0">
      <alignment horizontal="center" vertical="center"/>
    </xf>
    <xf numFmtId="165" fontId="14" fillId="0" borderId="14" applyAlignment="1" pivotButton="0" quotePrefix="0" xfId="0">
      <alignment vertical="center"/>
    </xf>
    <xf numFmtId="169" fontId="14" fillId="0" borderId="14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14" fillId="0" borderId="12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2" borderId="2" applyAlignment="1" pivotButton="0" quotePrefix="0" xfId="0">
      <alignment horizontal="center" vertical="center"/>
    </xf>
    <xf numFmtId="0" fontId="3" fillId="8" borderId="0" applyAlignment="1" pivotButton="0" quotePrefix="0" xfId="0">
      <alignment vertical="center"/>
    </xf>
    <xf numFmtId="3" fontId="20" fillId="0" borderId="0" applyAlignment="1" pivotButton="0" quotePrefix="0" xfId="0">
      <alignment vertical="center"/>
    </xf>
    <xf numFmtId="170" fontId="16" fillId="0" borderId="0" applyAlignment="1" pivotButton="0" quotePrefix="0" xfId="0">
      <alignment vertical="center"/>
    </xf>
    <xf numFmtId="0" fontId="15" fillId="0" borderId="21" applyAlignment="1" pivotButton="0" quotePrefix="0" xfId="0">
      <alignment horizontal="center" vertical="center"/>
    </xf>
    <xf numFmtId="0" fontId="14" fillId="0" borderId="23" applyAlignment="1" pivotButton="0" quotePrefix="0" xfId="0">
      <alignment horizontal="right" vertical="center"/>
    </xf>
    <xf numFmtId="0" fontId="14" fillId="0" borderId="24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/>
    </xf>
    <xf numFmtId="0" fontId="14" fillId="0" borderId="21" applyAlignment="1" pivotButton="0" quotePrefix="0" xfId="0">
      <alignment horizontal="right" vertical="center"/>
    </xf>
    <xf numFmtId="0" fontId="14" fillId="0" borderId="22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/>
    </xf>
    <xf numFmtId="0" fontId="18" fillId="0" borderId="25" applyAlignment="1" pivotButton="0" quotePrefix="0" xfId="0">
      <alignment horizontal="center" vertical="center"/>
    </xf>
    <xf numFmtId="0" fontId="18" fillId="0" borderId="21" applyAlignment="1" pivotButton="0" quotePrefix="0" xfId="0">
      <alignment horizontal="right" vertical="center"/>
    </xf>
    <xf numFmtId="171" fontId="14" fillId="0" borderId="0" applyAlignment="1" pivotButton="0" quotePrefix="0" xfId="1">
      <alignment horizontal="right" vertical="center"/>
    </xf>
    <xf numFmtId="172" fontId="14" fillId="0" borderId="22" applyAlignment="1" pivotButton="0" quotePrefix="0" xfId="2">
      <alignment horizontal="right" vertical="center"/>
    </xf>
    <xf numFmtId="0" fontId="14" fillId="0" borderId="14" applyAlignment="1" pivotButton="0" quotePrefix="0" xfId="0">
      <alignment horizontal="left" vertical="center"/>
    </xf>
    <xf numFmtId="0" fontId="18" fillId="0" borderId="26" applyAlignment="1" pivotButton="0" quotePrefix="0" xfId="0">
      <alignment horizontal="right" vertical="center"/>
    </xf>
    <xf numFmtId="171" fontId="14" fillId="0" borderId="14" applyAlignment="1" pivotButton="0" quotePrefix="0" xfId="1">
      <alignment horizontal="right" vertical="center"/>
    </xf>
    <xf numFmtId="167" fontId="21" fillId="0" borderId="0" applyAlignment="1" pivotButton="0" quotePrefix="0" xfId="0">
      <alignment horizontal="left" vertical="center"/>
    </xf>
    <xf numFmtId="167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0" fillId="0" borderId="27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/>
    </xf>
    <xf numFmtId="172" fontId="20" fillId="0" borderId="27" applyAlignment="1" pivotButton="0" quotePrefix="0" xfId="2">
      <alignment horizontal="right" vertical="center"/>
    </xf>
    <xf numFmtId="0" fontId="12" fillId="0" borderId="0" applyAlignment="1" pivotButton="0" quotePrefix="0" xfId="0">
      <alignment horizontal="center" vertical="center"/>
    </xf>
    <xf numFmtId="0" fontId="12" fillId="0" borderId="14" applyAlignment="1" pivotButton="0" quotePrefix="0" xfId="0">
      <alignment horizontal="center" vertical="center"/>
    </xf>
    <xf numFmtId="0" fontId="51" fillId="0" borderId="12" applyAlignment="1" pivotButton="0" quotePrefix="0" xfId="0">
      <alignment vertical="center"/>
    </xf>
    <xf numFmtId="0" fontId="51" fillId="0" borderId="8" applyAlignment="1" pivotButton="0" quotePrefix="0" xfId="0">
      <alignment vertical="center"/>
    </xf>
    <xf numFmtId="170" fontId="14" fillId="0" borderId="0" applyAlignment="1" pivotButton="0" quotePrefix="0" xfId="1">
      <alignment horizontal="right" vertical="center"/>
    </xf>
    <xf numFmtId="169" fontId="12" fillId="0" borderId="0" applyAlignment="1" pivotButton="0" quotePrefix="0" xfId="0">
      <alignment vertical="center"/>
    </xf>
    <xf numFmtId="172" fontId="14" fillId="0" borderId="0" applyAlignment="1" pivotButton="0" quotePrefix="0" xfId="2">
      <alignment horizontal="right" vertical="center"/>
    </xf>
    <xf numFmtId="164" fontId="14" fillId="0" borderId="0" applyAlignment="1" pivotButton="0" quotePrefix="0" xfId="1">
      <alignment horizontal="right" vertical="center"/>
    </xf>
    <xf numFmtId="0" fontId="18" fillId="0" borderId="14" applyAlignment="1" pivotButton="0" quotePrefix="0" xfId="0">
      <alignment horizontal="right" vertical="center"/>
    </xf>
    <xf numFmtId="0" fontId="12" fillId="0" borderId="14" applyAlignment="1" pivotButton="0" quotePrefix="0" xfId="0">
      <alignment vertical="center"/>
    </xf>
    <xf numFmtId="170" fontId="14" fillId="0" borderId="14" applyAlignment="1" pivotButton="0" quotePrefix="0" xfId="1">
      <alignment horizontal="right" vertical="center"/>
    </xf>
    <xf numFmtId="169" fontId="12" fillId="0" borderId="14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0" borderId="22" applyAlignment="1" pivotButton="0" quotePrefix="0" xfId="0">
      <alignment horizontal="center" vertical="center"/>
    </xf>
    <xf numFmtId="0" fontId="20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53" fillId="0" borderId="0" applyAlignment="1" pivotButton="0" quotePrefix="0" xfId="0">
      <alignment vertical="center"/>
    </xf>
    <xf numFmtId="0" fontId="33" fillId="9" borderId="0" applyAlignment="1" pivotButton="0" quotePrefix="0" xfId="0">
      <alignment horizontal="right" vertical="center"/>
    </xf>
    <xf numFmtId="0" fontId="55" fillId="0" borderId="0" applyAlignment="1" pivotButton="0" quotePrefix="0" xfId="0">
      <alignment vertical="center"/>
    </xf>
    <xf numFmtId="0" fontId="33" fillId="10" borderId="0" applyAlignment="1" pivotButton="0" quotePrefix="0" xfId="0">
      <alignment horizontal="right" vertical="center"/>
    </xf>
    <xf numFmtId="0" fontId="33" fillId="0" borderId="0" applyAlignment="1" pivotButton="0" quotePrefix="0" xfId="0">
      <alignment horizontal="right" vertical="center"/>
    </xf>
    <xf numFmtId="0" fontId="33" fillId="11" borderId="0" applyAlignment="1" pivotButton="0" quotePrefix="0" xfId="0">
      <alignment horizontal="right" vertical="center"/>
    </xf>
    <xf numFmtId="0" fontId="56" fillId="0" borderId="15" applyAlignment="1" pivotButton="0" quotePrefix="0" xfId="0">
      <alignment horizontal="center" vertical="center"/>
    </xf>
    <xf numFmtId="0" fontId="33" fillId="0" borderId="15" applyAlignment="1" pivotButton="0" quotePrefix="0" xfId="0">
      <alignment horizontal="left" vertical="center"/>
    </xf>
    <xf numFmtId="0" fontId="33" fillId="0" borderId="15" applyAlignment="1" pivotButton="0" quotePrefix="0" xfId="0">
      <alignment horizontal="right" vertical="center"/>
    </xf>
    <xf numFmtId="0" fontId="57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33" fillId="0" borderId="14" applyAlignment="1" pivotButton="0" quotePrefix="0" xfId="0">
      <alignment horizontal="left" vertical="center"/>
    </xf>
    <xf numFmtId="0" fontId="33" fillId="0" borderId="14" applyAlignment="1" pivotButton="0" quotePrefix="0" xfId="0">
      <alignment horizontal="right" vertical="center"/>
    </xf>
    <xf numFmtId="164" fontId="16" fillId="0" borderId="0" applyAlignment="1" pivotButton="0" quotePrefix="0" xfId="1">
      <alignment vertical="center"/>
    </xf>
    <xf numFmtId="164" fontId="21" fillId="0" borderId="0" applyAlignment="1" pivotButton="0" quotePrefix="0" xfId="1">
      <alignment vertical="center"/>
    </xf>
    <xf numFmtId="164" fontId="16" fillId="0" borderId="0" applyAlignment="1" pivotButton="0" quotePrefix="0" xfId="0">
      <alignment vertical="center"/>
    </xf>
    <xf numFmtId="164" fontId="31" fillId="0" borderId="0" applyAlignment="1" pivotButton="0" quotePrefix="0" xfId="1">
      <alignment vertical="center"/>
    </xf>
    <xf numFmtId="0" fontId="62" fillId="0" borderId="0" applyAlignment="1" pivotButton="0" quotePrefix="0" xfId="0">
      <alignment horizontal="left" vertical="center"/>
    </xf>
    <xf numFmtId="3" fontId="64" fillId="0" borderId="0" applyAlignment="1" pivotButton="0" quotePrefix="0" xfId="2">
      <alignment horizontal="right" vertical="center"/>
    </xf>
    <xf numFmtId="3" fontId="65" fillId="0" borderId="0" applyAlignment="1" pivotButton="0" quotePrefix="0" xfId="2">
      <alignment horizontal="right" vertical="center"/>
    </xf>
    <xf numFmtId="3" fontId="65" fillId="0" borderId="14" applyAlignment="1" pivotButton="0" quotePrefix="0" xfId="2">
      <alignment horizontal="right" vertical="center"/>
    </xf>
    <xf numFmtId="0" fontId="16" fillId="0" borderId="12" applyAlignment="1" pivotButton="0" quotePrefix="0" xfId="0">
      <alignment vertical="center"/>
    </xf>
    <xf numFmtId="0" fontId="16" fillId="0" borderId="19" applyAlignment="1" pivotButton="0" quotePrefix="0" xfId="0">
      <alignment vertical="center"/>
    </xf>
    <xf numFmtId="169" fontId="3" fillId="0" borderId="0" applyAlignment="1" pivotButton="0" quotePrefix="0" xfId="0">
      <alignment vertical="center"/>
    </xf>
    <xf numFmtId="169" fontId="3" fillId="0" borderId="21" applyAlignment="1" pivotButton="0" quotePrefix="0" xfId="0">
      <alignment vertical="center"/>
    </xf>
    <xf numFmtId="169" fontId="3" fillId="0" borderId="14" applyAlignment="1" pivotButton="0" quotePrefix="0" xfId="0">
      <alignment vertical="center"/>
    </xf>
    <xf numFmtId="0" fontId="3" fillId="0" borderId="14" applyAlignment="1" pivotButton="0" quotePrefix="0" xfId="0">
      <alignment vertical="center"/>
    </xf>
    <xf numFmtId="169" fontId="3" fillId="0" borderId="26" applyAlignment="1" pivotButton="0" quotePrefix="0" xfId="0">
      <alignment vertical="center"/>
    </xf>
    <xf numFmtId="0" fontId="46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right" vertical="center"/>
    </xf>
    <xf numFmtId="0" fontId="66" fillId="0" borderId="0" applyAlignment="1" pivotButton="0" quotePrefix="0" xfId="0">
      <alignment vertical="center"/>
    </xf>
    <xf numFmtId="0" fontId="64" fillId="0" borderId="0" applyAlignment="1" pivotButton="0" quotePrefix="0" xfId="0">
      <alignment vertical="center"/>
    </xf>
    <xf numFmtId="0" fontId="62" fillId="0" borderId="8" applyAlignment="1" pivotButton="0" quotePrefix="0" xfId="0">
      <alignment horizontal="center" vertical="center"/>
    </xf>
    <xf numFmtId="168" fontId="62" fillId="0" borderId="0" applyAlignment="1" pivotButton="0" quotePrefix="0" xfId="0">
      <alignment horizontal="right" vertical="center"/>
    </xf>
    <xf numFmtId="3" fontId="64" fillId="0" borderId="0" applyAlignment="1" pivotButton="0" quotePrefix="0" xfId="0">
      <alignment horizontal="right" vertical="center"/>
    </xf>
    <xf numFmtId="168" fontId="64" fillId="0" borderId="0" applyAlignment="1" pivotButton="0" quotePrefix="0" xfId="1">
      <alignment horizontal="right" vertical="center"/>
    </xf>
    <xf numFmtId="3" fontId="65" fillId="0" borderId="0" applyAlignment="1" pivotButton="0" quotePrefix="0" xfId="0">
      <alignment horizontal="right" vertical="center"/>
    </xf>
    <xf numFmtId="3" fontId="65" fillId="0" borderId="14" applyAlignment="1" pivotButton="0" quotePrefix="0" xfId="0">
      <alignment horizontal="right" vertical="center"/>
    </xf>
    <xf numFmtId="168" fontId="64" fillId="0" borderId="14" applyAlignment="1" pivotButton="0" quotePrefix="0" xfId="1">
      <alignment horizontal="right" vertical="center"/>
    </xf>
    <xf numFmtId="3" fontId="64" fillId="0" borderId="14" applyAlignment="1" pivotButton="0" quotePrefix="0" xfId="0">
      <alignment horizontal="right" vertical="center"/>
    </xf>
    <xf numFmtId="0" fontId="67" fillId="0" borderId="0" applyAlignment="1" pivotButton="0" quotePrefix="0" xfId="0">
      <alignment vertical="center"/>
    </xf>
    <xf numFmtId="0" fontId="0" fillId="5" borderId="28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0" fillId="0" borderId="30" applyAlignment="1" pivotButton="0" quotePrefix="0" xfId="0">
      <alignment vertical="center"/>
    </xf>
    <xf numFmtId="0" fontId="0" fillId="5" borderId="31" applyAlignment="1" pivotButton="0" quotePrefix="0" xfId="0">
      <alignment vertical="center"/>
    </xf>
    <xf numFmtId="0" fontId="0" fillId="0" borderId="32" applyAlignment="1" pivotButton="0" quotePrefix="0" xfId="0">
      <alignment vertical="center"/>
    </xf>
    <xf numFmtId="0" fontId="66" fillId="0" borderId="32" applyAlignment="1" pivotButton="0" quotePrefix="0" xfId="0">
      <alignment vertical="center"/>
    </xf>
    <xf numFmtId="0" fontId="28" fillId="3" borderId="32" applyAlignment="1" pivotButton="0" quotePrefix="0" xfId="0">
      <alignment vertical="center"/>
    </xf>
    <xf numFmtId="0" fontId="0" fillId="0" borderId="34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5" borderId="33" applyAlignment="1" pivotButton="0" quotePrefix="0" xfId="0">
      <alignment vertical="center"/>
    </xf>
    <xf numFmtId="0" fontId="3" fillId="0" borderId="34" applyAlignment="1" pivotButton="0" quotePrefix="0" xfId="0">
      <alignment vertical="center"/>
    </xf>
    <xf numFmtId="0" fontId="13" fillId="0" borderId="34" applyAlignment="1" pivotButton="0" quotePrefix="0" xfId="0">
      <alignment vertical="center"/>
    </xf>
    <xf numFmtId="164" fontId="13" fillId="0" borderId="34" applyAlignment="1" pivotButton="0" quotePrefix="0" xfId="0">
      <alignment vertical="center"/>
    </xf>
    <xf numFmtId="0" fontId="68" fillId="0" borderId="36" applyAlignment="1" pivotButton="0" quotePrefix="0" xfId="0">
      <alignment horizontal="center" vertical="center"/>
    </xf>
    <xf numFmtId="0" fontId="69" fillId="0" borderId="36" applyAlignment="1" pivotButton="0" quotePrefix="0" xfId="0">
      <alignment horizontal="center" vertical="center"/>
    </xf>
    <xf numFmtId="0" fontId="70" fillId="0" borderId="36" applyAlignment="1" pivotButton="0" quotePrefix="0" xfId="0">
      <alignment horizontal="center" vertical="center"/>
    </xf>
    <xf numFmtId="0" fontId="68" fillId="0" borderId="0" applyAlignment="1" pivotButton="0" quotePrefix="0" xfId="0">
      <alignment horizontal="center" vertical="center"/>
    </xf>
    <xf numFmtId="0" fontId="68" fillId="0" borderId="0" applyAlignment="1" pivotButton="0" quotePrefix="0" xfId="0">
      <alignment horizontal="right" vertical="center"/>
    </xf>
    <xf numFmtId="0" fontId="70" fillId="0" borderId="0" applyAlignment="1" pivotButton="0" quotePrefix="0" xfId="0">
      <alignment horizontal="right" vertical="center"/>
    </xf>
    <xf numFmtId="0" fontId="68" fillId="0" borderId="0" applyAlignment="1" pivotButton="0" quotePrefix="0" xfId="0">
      <alignment vertical="center"/>
    </xf>
    <xf numFmtId="0" fontId="69" fillId="0" borderId="0" applyAlignment="1" pivotButton="0" quotePrefix="0" xfId="0">
      <alignment horizontal="left" vertical="center"/>
    </xf>
    <xf numFmtId="0" fontId="73" fillId="3" borderId="0" applyAlignment="1" pivotButton="0" quotePrefix="0" xfId="0">
      <alignment vertical="center"/>
    </xf>
    <xf numFmtId="0" fontId="73" fillId="3" borderId="0" applyAlignment="1" pivotButton="0" quotePrefix="0" xfId="0">
      <alignment horizontal="right" vertical="center"/>
    </xf>
    <xf numFmtId="0" fontId="74" fillId="3" borderId="0" applyAlignment="1" pivotButton="0" quotePrefix="0" xfId="0">
      <alignment horizontal="right" vertical="center"/>
    </xf>
    <xf numFmtId="0" fontId="73" fillId="0" borderId="0" applyAlignment="1" pivotButton="0" quotePrefix="0" xfId="0">
      <alignment vertical="center"/>
    </xf>
    <xf numFmtId="0" fontId="73" fillId="0" borderId="0" applyAlignment="1" pivotButton="0" quotePrefix="0" xfId="0">
      <alignment horizontal="right" vertical="center"/>
    </xf>
    <xf numFmtId="0" fontId="74" fillId="0" borderId="0" applyAlignment="1" pivotButton="0" quotePrefix="0" xfId="0">
      <alignment horizontal="right" vertical="center"/>
    </xf>
    <xf numFmtId="0" fontId="70" fillId="0" borderId="0" applyAlignment="1" pivotButton="0" quotePrefix="0" xfId="0">
      <alignment vertical="center"/>
    </xf>
    <xf numFmtId="0" fontId="77" fillId="0" borderId="0" applyAlignment="1" pivotButton="0" quotePrefix="0" xfId="0">
      <alignment horizontal="justify" vertical="center"/>
    </xf>
    <xf numFmtId="0" fontId="68" fillId="0" borderId="37" applyAlignment="1" pivotButton="0" quotePrefix="0" xfId="0">
      <alignment horizontal="right" vertical="center"/>
    </xf>
    <xf numFmtId="0" fontId="70" fillId="0" borderId="37" applyAlignment="1" pivotButton="0" quotePrefix="0" xfId="0">
      <alignment horizontal="right" vertical="center"/>
    </xf>
    <xf numFmtId="0" fontId="70" fillId="0" borderId="3" applyAlignment="1" pivotButton="0" quotePrefix="0" xfId="0">
      <alignment horizontal="right" vertical="center"/>
    </xf>
    <xf numFmtId="0" fontId="68" fillId="0" borderId="2" applyAlignment="1" pivotButton="0" quotePrefix="0" xfId="0">
      <alignment vertical="center"/>
    </xf>
    <xf numFmtId="0" fontId="70" fillId="0" borderId="9" applyAlignment="1" pivotButton="0" quotePrefix="0" xfId="0">
      <alignment horizontal="right" vertical="center"/>
    </xf>
    <xf numFmtId="0" fontId="73" fillId="3" borderId="2" applyAlignment="1" pivotButton="0" quotePrefix="0" xfId="0">
      <alignment vertical="center"/>
    </xf>
    <xf numFmtId="0" fontId="74" fillId="3" borderId="9" applyAlignment="1" pivotButton="0" quotePrefix="0" xfId="0">
      <alignment horizontal="right" vertical="center"/>
    </xf>
    <xf numFmtId="0" fontId="69" fillId="0" borderId="0" applyAlignment="1" pivotButton="0" quotePrefix="0" xfId="0">
      <alignment vertical="center"/>
    </xf>
    <xf numFmtId="0" fontId="68" fillId="0" borderId="0" applyAlignment="1" pivotButton="0" quotePrefix="0" xfId="0">
      <alignment horizontal="left" vertical="center"/>
    </xf>
    <xf numFmtId="0" fontId="68" fillId="4" borderId="2" applyAlignment="1" pivotButton="0" quotePrefix="0" xfId="0">
      <alignment vertical="center"/>
    </xf>
    <xf numFmtId="0" fontId="69" fillId="4" borderId="0" applyAlignment="1" pivotButton="0" quotePrefix="0" xfId="0">
      <alignment horizontal="left" vertical="center"/>
    </xf>
    <xf numFmtId="0" fontId="68" fillId="4" borderId="0" applyAlignment="1" pivotButton="0" quotePrefix="0" xfId="0">
      <alignment horizontal="right" vertical="center"/>
    </xf>
    <xf numFmtId="0" fontId="70" fillId="4" borderId="0" applyAlignment="1" pivotButton="0" quotePrefix="0" xfId="0">
      <alignment horizontal="right" vertical="center"/>
    </xf>
    <xf numFmtId="0" fontId="70" fillId="4" borderId="9" applyAlignment="1" pivotButton="0" quotePrefix="0" xfId="0">
      <alignment horizontal="right" vertical="center"/>
    </xf>
    <xf numFmtId="0" fontId="73" fillId="0" borderId="2" applyAlignment="1" pivotButton="0" quotePrefix="0" xfId="0">
      <alignment vertical="center"/>
    </xf>
    <xf numFmtId="0" fontId="74" fillId="0" borderId="9" applyAlignment="1" pivotButton="0" quotePrefix="0" xfId="0">
      <alignment horizontal="right" vertical="center"/>
    </xf>
    <xf numFmtId="0" fontId="73" fillId="0" borderId="10" applyAlignment="1" pivotButton="0" quotePrefix="0" xfId="0">
      <alignment vertical="center"/>
    </xf>
    <xf numFmtId="0" fontId="73" fillId="0" borderId="1" applyAlignment="1" pivotButton="0" quotePrefix="0" xfId="0">
      <alignment vertical="center"/>
    </xf>
    <xf numFmtId="0" fontId="73" fillId="0" borderId="1" applyAlignment="1" pivotButton="0" quotePrefix="0" xfId="0">
      <alignment horizontal="right" vertical="center"/>
    </xf>
    <xf numFmtId="0" fontId="74" fillId="0" borderId="1" applyAlignment="1" pivotButton="0" quotePrefix="0" xfId="0">
      <alignment horizontal="right" vertical="center"/>
    </xf>
    <xf numFmtId="0" fontId="74" fillId="0" borderId="11" applyAlignment="1" pivotButton="0" quotePrefix="0" xfId="0">
      <alignment horizontal="right" vertical="center"/>
    </xf>
    <xf numFmtId="0" fontId="63" fillId="0" borderId="0" applyAlignment="1" pivotButton="0" quotePrefix="0" xfId="0">
      <alignment horizontal="right" vertical="center"/>
    </xf>
    <xf numFmtId="166" fontId="64" fillId="0" borderId="0" applyAlignment="1" pivotButton="0" quotePrefix="0" xfId="0">
      <alignment vertical="center"/>
    </xf>
    <xf numFmtId="166" fontId="64" fillId="0" borderId="0" applyAlignment="1" pivotButton="0" quotePrefix="0" xfId="0">
      <alignment horizontal="center" vertical="center"/>
    </xf>
    <xf numFmtId="0" fontId="78" fillId="0" borderId="0" applyAlignment="1" pivotButton="0" quotePrefix="0" xfId="0">
      <alignment vertical="center"/>
    </xf>
    <xf numFmtId="0" fontId="63" fillId="0" borderId="15" applyAlignment="1" pivotButton="0" quotePrefix="0" xfId="0">
      <alignment horizontal="right" vertical="center"/>
    </xf>
    <xf numFmtId="0" fontId="79" fillId="0" borderId="0" applyAlignment="1" pivotButton="0" quotePrefix="0" xfId="0">
      <alignment vertical="center"/>
    </xf>
    <xf numFmtId="0" fontId="79" fillId="0" borderId="0" applyAlignment="1" pivotButton="0" quotePrefix="0" xfId="0">
      <alignment horizontal="center" vertical="center"/>
    </xf>
    <xf numFmtId="0" fontId="64" fillId="0" borderId="15" applyAlignment="1" pivotButton="0" quotePrefix="0" xfId="0">
      <alignment vertical="center"/>
    </xf>
    <xf numFmtId="166" fontId="64" fillId="0" borderId="15" applyAlignment="1" pivotButton="0" quotePrefix="0" xfId="0">
      <alignment vertical="center"/>
    </xf>
    <xf numFmtId="166" fontId="64" fillId="0" borderId="15" applyAlignment="1" pivotButton="0" quotePrefix="0" xfId="0">
      <alignment horizontal="center" vertical="center"/>
    </xf>
    <xf numFmtId="3" fontId="14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center" vertical="center"/>
    </xf>
    <xf numFmtId="0" fontId="39" fillId="0" borderId="0" applyAlignment="1" pivotButton="0" quotePrefix="0" xfId="0">
      <alignment horizontal="left" vertical="center"/>
    </xf>
    <xf numFmtId="171" fontId="33" fillId="0" borderId="0" applyAlignment="1" pivotButton="0" quotePrefix="0" xfId="0">
      <alignment horizontal="right" vertical="center"/>
    </xf>
    <xf numFmtId="171" fontId="20" fillId="0" borderId="0" applyAlignment="1" pivotButton="0" quotePrefix="0" xfId="0">
      <alignment horizontal="right" vertical="center"/>
    </xf>
    <xf numFmtId="171" fontId="33" fillId="0" borderId="15" applyAlignment="1" pivotButton="0" quotePrefix="0" xfId="0">
      <alignment horizontal="right" vertical="center"/>
    </xf>
    <xf numFmtId="171" fontId="33" fillId="0" borderId="14" applyAlignment="1" pivotButton="0" quotePrefix="0" xfId="0">
      <alignment horizontal="right" vertical="center"/>
    </xf>
    <xf numFmtId="166" fontId="64" fillId="0" borderId="42" applyAlignment="1" pivotButton="0" quotePrefix="0" xfId="0">
      <alignment vertical="center"/>
    </xf>
    <xf numFmtId="166" fontId="64" fillId="0" borderId="38" applyAlignment="1" pivotButton="0" quotePrefix="0" xfId="0">
      <alignment vertical="center"/>
    </xf>
    <xf numFmtId="0" fontId="64" fillId="0" borderId="0" applyAlignment="1" pivotButton="0" quotePrefix="0" xfId="0">
      <alignment horizontal="right" vertical="center"/>
    </xf>
    <xf numFmtId="0" fontId="64" fillId="0" borderId="16" applyAlignment="1" pivotButton="0" quotePrefix="0" xfId="0">
      <alignment horizontal="right" vertical="center"/>
    </xf>
    <xf numFmtId="0" fontId="64" fillId="0" borderId="14" applyAlignment="1" pivotButton="0" quotePrefix="0" xfId="0">
      <alignment horizontal="right" vertical="center"/>
    </xf>
    <xf numFmtId="170" fontId="64" fillId="0" borderId="0" applyAlignment="1" pivotButton="0" quotePrefix="0" xfId="0">
      <alignment horizontal="right" vertical="center"/>
    </xf>
    <xf numFmtId="170" fontId="64" fillId="0" borderId="15" applyAlignment="1" pivotButton="0" quotePrefix="0" xfId="0">
      <alignment horizontal="right" vertical="center"/>
    </xf>
    <xf numFmtId="170" fontId="64" fillId="0" borderId="14" applyAlignment="1" pivotButton="0" quotePrefix="0" xfId="0">
      <alignment horizontal="right" vertical="center"/>
    </xf>
    <xf numFmtId="169" fontId="64" fillId="0" borderId="45" applyAlignment="1" pivotButton="0" quotePrefix="0" xfId="0">
      <alignment vertical="center"/>
    </xf>
    <xf numFmtId="169" fontId="64" fillId="0" borderId="38" applyAlignment="1" pivotButton="0" quotePrefix="0" xfId="0">
      <alignment vertical="center"/>
    </xf>
    <xf numFmtId="0" fontId="64" fillId="0" borderId="12" applyAlignment="1" pivotButton="0" quotePrefix="0" xfId="0">
      <alignment horizontal="left" vertical="center"/>
    </xf>
    <xf numFmtId="0" fontId="64" fillId="0" borderId="8" applyAlignment="1" pivotButton="0" quotePrefix="0" xfId="0">
      <alignment horizontal="left" vertical="center"/>
    </xf>
    <xf numFmtId="0" fontId="64" fillId="0" borderId="8" applyAlignment="1" pivotButton="0" quotePrefix="0" xfId="0">
      <alignment horizontal="center" vertical="center"/>
    </xf>
    <xf numFmtId="0" fontId="63" fillId="0" borderId="40" applyAlignment="1" pivotButton="0" quotePrefix="0" xfId="0">
      <alignment horizontal="center" vertical="center"/>
    </xf>
    <xf numFmtId="0" fontId="64" fillId="0" borderId="44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/>
    </xf>
    <xf numFmtId="0" fontId="64" fillId="0" borderId="13" applyAlignment="1" pivotButton="0" quotePrefix="0" xfId="0">
      <alignment horizontal="left" vertical="center"/>
    </xf>
    <xf numFmtId="0" fontId="64" fillId="0" borderId="38" applyAlignment="1" pivotButton="0" quotePrefix="0" xfId="0">
      <alignment vertical="center"/>
    </xf>
    <xf numFmtId="169" fontId="64" fillId="0" borderId="45" applyAlignment="1" pivotButton="0" quotePrefix="0" xfId="0">
      <alignment horizontal="right" vertical="center"/>
    </xf>
    <xf numFmtId="169" fontId="64" fillId="0" borderId="38" applyAlignment="1" pivotButton="0" quotePrefix="0" xfId="0">
      <alignment horizontal="right" vertical="center"/>
    </xf>
    <xf numFmtId="0" fontId="36" fillId="0" borderId="0" applyAlignment="1" pivotButton="0" quotePrefix="0" xfId="0">
      <alignment horizontal="right" vertical="center"/>
    </xf>
    <xf numFmtId="0" fontId="64" fillId="0" borderId="16" applyAlignment="1" pivotButton="0" quotePrefix="0" xfId="0">
      <alignment vertical="center"/>
    </xf>
    <xf numFmtId="0" fontId="63" fillId="0" borderId="16" applyAlignment="1" pivotButton="0" quotePrefix="0" xfId="0">
      <alignment horizontal="right" vertical="center"/>
    </xf>
    <xf numFmtId="0" fontId="64" fillId="0" borderId="16" applyAlignment="1" pivotButton="0" quotePrefix="0" xfId="0">
      <alignment horizontal="center" vertical="center"/>
    </xf>
    <xf numFmtId="169" fontId="64" fillId="0" borderId="46" applyAlignment="1" pivotButton="0" quotePrefix="0" xfId="0">
      <alignment vertical="center"/>
    </xf>
    <xf numFmtId="169" fontId="64" fillId="0" borderId="41" applyAlignment="1" pivotButton="0" quotePrefix="0" xfId="0">
      <alignment vertical="center"/>
    </xf>
    <xf numFmtId="169" fontId="64" fillId="0" borderId="47" applyAlignment="1" pivotButton="0" quotePrefix="0" xfId="0">
      <alignment vertical="center"/>
    </xf>
    <xf numFmtId="169" fontId="64" fillId="0" borderId="42" applyAlignment="1" pivotButton="0" quotePrefix="0" xfId="0">
      <alignment vertical="center"/>
    </xf>
    <xf numFmtId="166" fontId="64" fillId="0" borderId="16" applyAlignment="1" pivotButton="0" quotePrefix="0" xfId="0">
      <alignment vertical="center"/>
    </xf>
    <xf numFmtId="166" fontId="64" fillId="0" borderId="16" applyAlignment="1" pivotButton="0" quotePrefix="0" xfId="0">
      <alignment horizontal="center" vertical="center"/>
    </xf>
    <xf numFmtId="166" fontId="64" fillId="0" borderId="41" applyAlignment="1" pivotButton="0" quotePrefix="0" xfId="0">
      <alignment vertical="center"/>
    </xf>
    <xf numFmtId="0" fontId="64" fillId="0" borderId="0" applyAlignment="1" pivotButton="0" quotePrefix="0" xfId="0">
      <alignment horizontal="left" vertical="center"/>
    </xf>
    <xf numFmtId="166" fontId="64" fillId="0" borderId="45" applyAlignment="1" pivotButton="0" quotePrefix="0" xfId="0">
      <alignment vertical="center"/>
    </xf>
    <xf numFmtId="166" fontId="64" fillId="0" borderId="0" applyAlignment="1" pivotButton="0" quotePrefix="0" xfId="0">
      <alignment horizontal="left" vertical="center"/>
    </xf>
    <xf numFmtId="0" fontId="63" fillId="0" borderId="0" applyAlignment="1" pivotButton="0" quotePrefix="0" xfId="0">
      <alignment horizontal="left" vertical="center"/>
    </xf>
    <xf numFmtId="0" fontId="63" fillId="0" borderId="14" applyAlignment="1" pivotButton="0" quotePrefix="0" xfId="0">
      <alignment horizontal="left" vertical="center"/>
    </xf>
    <xf numFmtId="0" fontId="63" fillId="0" borderId="14" applyAlignment="1" pivotButton="0" quotePrefix="0" xfId="0">
      <alignment horizontal="right" vertical="center"/>
    </xf>
    <xf numFmtId="166" fontId="64" fillId="0" borderId="14" applyAlignment="1" pivotButton="0" quotePrefix="0" xfId="0">
      <alignment horizontal="left" vertical="center"/>
    </xf>
    <xf numFmtId="166" fontId="64" fillId="0" borderId="14" applyAlignment="1" pivotButton="0" quotePrefix="0" xfId="0">
      <alignment horizontal="center" vertical="center"/>
    </xf>
    <xf numFmtId="0" fontId="64" fillId="0" borderId="14" applyAlignment="1" pivotButton="0" quotePrefix="0" xfId="0">
      <alignment horizontal="center" vertical="center"/>
    </xf>
    <xf numFmtId="0" fontId="81" fillId="0" borderId="0" applyAlignment="1" pivotButton="0" quotePrefix="0" xfId="0">
      <alignment horizontal="left" vertical="center"/>
    </xf>
    <xf numFmtId="0" fontId="64" fillId="0" borderId="0" applyAlignment="1" pivotButton="0" quotePrefix="0" xfId="0">
      <alignment horizontal="center" vertical="center"/>
    </xf>
    <xf numFmtId="0" fontId="63" fillId="0" borderId="0" applyAlignment="1" pivotButton="0" quotePrefix="0" xfId="0">
      <alignment horizontal="center" vertical="center"/>
    </xf>
    <xf numFmtId="166" fontId="64" fillId="0" borderId="47" applyAlignment="1" pivotButton="0" quotePrefix="0" xfId="0">
      <alignment vertical="center"/>
    </xf>
    <xf numFmtId="166" fontId="64" fillId="0" borderId="45" applyAlignment="1" pivotButton="0" quotePrefix="0" xfId="0">
      <alignment horizontal="left" vertical="center"/>
    </xf>
    <xf numFmtId="166" fontId="64" fillId="0" borderId="38" applyAlignment="1" pivotButton="0" quotePrefix="0" xfId="0">
      <alignment horizontal="left" vertical="center"/>
    </xf>
    <xf numFmtId="166" fontId="64" fillId="0" borderId="48" applyAlignment="1" pivotButton="0" quotePrefix="0" xfId="0">
      <alignment horizontal="left" vertical="center"/>
    </xf>
    <xf numFmtId="166" fontId="64" fillId="0" borderId="49" applyAlignment="1" pivotButton="0" quotePrefix="0" xfId="0">
      <alignment horizontal="left" vertical="center"/>
    </xf>
    <xf numFmtId="166" fontId="64" fillId="0" borderId="45" applyAlignment="1" pivotButton="0" quotePrefix="0" xfId="0">
      <alignment horizontal="right" vertical="center"/>
    </xf>
    <xf numFmtId="166" fontId="64" fillId="0" borderId="38" applyAlignment="1" pivotButton="0" quotePrefix="0" xfId="0">
      <alignment horizontal="right" vertical="center"/>
    </xf>
    <xf numFmtId="166" fontId="64" fillId="0" borderId="48" applyAlignment="1" pivotButton="0" quotePrefix="0" xfId="0">
      <alignment horizontal="right" vertical="center"/>
    </xf>
    <xf numFmtId="166" fontId="64" fillId="0" borderId="49" applyAlignment="1" pivotButton="0" quotePrefix="0" xfId="0">
      <alignment horizontal="right" vertical="center"/>
    </xf>
    <xf numFmtId="0" fontId="82" fillId="0" borderId="0" applyAlignment="1" pivotButton="0" quotePrefix="0" xfId="0">
      <alignment horizontal="center" vertical="center"/>
    </xf>
    <xf numFmtId="0" fontId="64" fillId="0" borderId="15" applyAlignment="1" pivotButton="0" quotePrefix="0" xfId="0">
      <alignment horizontal="right" vertical="center"/>
    </xf>
    <xf numFmtId="0" fontId="64" fillId="0" borderId="15" applyAlignment="1" pivotButton="0" quotePrefix="0" xfId="0">
      <alignment horizontal="center" vertical="center"/>
    </xf>
    <xf numFmtId="3" fontId="14" fillId="0" borderId="0" applyAlignment="1" pivotButton="0" quotePrefix="0" xfId="0">
      <alignment vertical="center"/>
    </xf>
    <xf numFmtId="164" fontId="16" fillId="0" borderId="0" applyAlignment="1" pivotButton="0" quotePrefix="0" xfId="1">
      <alignment horizontal="right" vertical="center"/>
    </xf>
    <xf numFmtId="0" fontId="35" fillId="0" borderId="14" applyAlignment="1" pivotButton="0" quotePrefix="0" xfId="0">
      <alignment horizontal="right" vertical="center"/>
    </xf>
    <xf numFmtId="164" fontId="16" fillId="0" borderId="14" applyAlignment="1" pivotButton="0" quotePrefix="0" xfId="1">
      <alignment horizontal="right" vertical="center"/>
    </xf>
    <xf numFmtId="0" fontId="16" fillId="0" borderId="18" applyAlignment="1" pivotButton="0" quotePrefix="0" xfId="0">
      <alignment horizontal="center" vertical="center"/>
    </xf>
    <xf numFmtId="3" fontId="16" fillId="0" borderId="0" applyAlignment="1" pivotButton="0" quotePrefix="0" xfId="0">
      <alignment horizontal="right" vertical="center"/>
    </xf>
    <xf numFmtId="173" fontId="16" fillId="0" borderId="0" applyAlignment="1" pivotButton="0" quotePrefix="0" xfId="1">
      <alignment horizontal="right" vertical="center"/>
    </xf>
    <xf numFmtId="0" fontId="31" fillId="0" borderId="18" applyAlignment="1" pivotButton="0" quotePrefix="0" xfId="0">
      <alignment horizontal="center" vertical="center"/>
    </xf>
    <xf numFmtId="0" fontId="33" fillId="0" borderId="0" applyAlignment="1" pivotButton="0" quotePrefix="0" xfId="0">
      <alignment horizontal="left" vertical="center" wrapText="1"/>
    </xf>
    <xf numFmtId="0" fontId="33" fillId="0" borderId="0" applyAlignment="1" pivotButton="0" quotePrefix="0" xfId="0">
      <alignment horizontal="left" vertical="center"/>
    </xf>
    <xf numFmtId="0" fontId="84" fillId="0" borderId="0" applyAlignment="1" pivotButton="0" quotePrefix="0" xfId="0">
      <alignment vertical="center"/>
    </xf>
    <xf numFmtId="3" fontId="16" fillId="0" borderId="15" applyAlignment="1" pivotButton="0" quotePrefix="0" xfId="0">
      <alignment horizontal="right" vertical="center"/>
    </xf>
    <xf numFmtId="173" fontId="16" fillId="0" borderId="15" applyAlignment="1" pivotButton="0" quotePrefix="0" xfId="1">
      <alignment horizontal="right" vertical="center"/>
    </xf>
    <xf numFmtId="0" fontId="33" fillId="0" borderId="15" applyAlignment="1" pivotButton="0" quotePrefix="0" xfId="0">
      <alignment vertical="center"/>
    </xf>
    <xf numFmtId="169" fontId="64" fillId="0" borderId="47" applyAlignment="1" pivotButton="0" quotePrefix="0" xfId="0">
      <alignment horizontal="right" vertical="center"/>
    </xf>
    <xf numFmtId="169" fontId="64" fillId="0" borderId="0" applyAlignment="1" pivotButton="0" quotePrefix="0" xfId="0">
      <alignment horizontal="right" vertical="center"/>
    </xf>
    <xf numFmtId="169" fontId="64" fillId="0" borderId="0" applyAlignment="1" pivotButton="0" quotePrefix="0" xfId="0">
      <alignment vertical="center"/>
    </xf>
    <xf numFmtId="169" fontId="64" fillId="0" borderId="16" applyAlignment="1" pivotButton="0" quotePrefix="0" xfId="0">
      <alignment vertical="center"/>
    </xf>
    <xf numFmtId="169" fontId="64" fillId="0" borderId="15" applyAlignment="1" pivotButton="0" quotePrefix="0" xfId="0">
      <alignment vertical="center"/>
    </xf>
    <xf numFmtId="169" fontId="64" fillId="0" borderId="14" applyAlignment="1" pivotButton="0" quotePrefix="0" xfId="0">
      <alignment horizontal="right" vertical="center"/>
    </xf>
    <xf numFmtId="169" fontId="16" fillId="0" borderId="0" applyAlignment="1" pivotButton="0" quotePrefix="0" xfId="0">
      <alignment vertical="center"/>
    </xf>
    <xf numFmtId="169" fontId="64" fillId="0" borderId="48" applyAlignment="1" pivotButton="0" quotePrefix="0" xfId="0">
      <alignment horizontal="right" vertical="center"/>
    </xf>
    <xf numFmtId="2" fontId="33" fillId="0" borderId="0" applyAlignment="1" pivotButton="0" quotePrefix="0" xfId="0">
      <alignment vertical="center"/>
    </xf>
    <xf numFmtId="174" fontId="33" fillId="0" borderId="0" applyAlignment="1" pivotButton="0" quotePrefix="0" xfId="0">
      <alignment horizontal="right" vertical="center"/>
    </xf>
    <xf numFmtId="2" fontId="33" fillId="0" borderId="0" applyAlignment="1" pivotButton="0" quotePrefix="0" xfId="0">
      <alignment horizontal="right" vertical="center" wrapText="1"/>
    </xf>
    <xf numFmtId="2" fontId="33" fillId="0" borderId="0" applyAlignment="1" pivotButton="0" quotePrefix="0" xfId="0">
      <alignment horizontal="right" vertical="center"/>
    </xf>
    <xf numFmtId="174" fontId="33" fillId="0" borderId="14" applyAlignment="1" pivotButton="0" quotePrefix="0" xfId="0">
      <alignment horizontal="right" vertical="center"/>
    </xf>
    <xf numFmtId="4" fontId="16" fillId="0" borderId="0" applyAlignment="1" pivotButton="0" quotePrefix="0" xfId="0">
      <alignment horizontal="right" vertical="center"/>
    </xf>
    <xf numFmtId="4" fontId="16" fillId="0" borderId="14" applyAlignment="1" pivotButton="0" quotePrefix="0" xfId="0">
      <alignment horizontal="right" vertical="center"/>
    </xf>
    <xf numFmtId="0" fontId="64" fillId="0" borderId="14" applyAlignment="1" pivotButton="0" quotePrefix="0" xfId="0">
      <alignment vertical="center"/>
    </xf>
    <xf numFmtId="169" fontId="64" fillId="0" borderId="49" applyAlignment="1" pivotButton="0" quotePrefix="0" xfId="0">
      <alignment horizontal="right" vertical="center"/>
    </xf>
    <xf numFmtId="0" fontId="64" fillId="0" borderId="24" applyAlignment="1" pivotButton="0" quotePrefix="0" xfId="0">
      <alignment horizontal="center" vertical="center"/>
    </xf>
    <xf numFmtId="3" fontId="14" fillId="0" borderId="22" applyAlignment="1" pivotButton="0" quotePrefix="0" xfId="0">
      <alignment horizontal="right" vertical="center"/>
    </xf>
    <xf numFmtId="0" fontId="64" fillId="0" borderId="22" applyAlignment="1" pivotButton="0" quotePrefix="0" xfId="0">
      <alignment horizontal="right" vertical="center"/>
    </xf>
    <xf numFmtId="0" fontId="64" fillId="0" borderId="50" applyAlignment="1" pivotButton="0" quotePrefix="0" xfId="0">
      <alignment horizontal="right" vertical="center"/>
    </xf>
    <xf numFmtId="0" fontId="64" fillId="0" borderId="51" applyAlignment="1" pivotButton="0" quotePrefix="0" xfId="0">
      <alignment horizontal="right" vertical="center"/>
    </xf>
    <xf numFmtId="0" fontId="64" fillId="0" borderId="27" applyAlignment="1" pivotButton="0" quotePrefix="0" xfId="0">
      <alignment horizontal="right" vertical="center"/>
    </xf>
    <xf numFmtId="171" fontId="14" fillId="0" borderId="0" applyAlignment="1" pivotButton="0" quotePrefix="0" xfId="0">
      <alignment horizontal="center" vertical="center"/>
    </xf>
    <xf numFmtId="170" fontId="14" fillId="0" borderId="0" applyAlignment="1" pivotButton="0" quotePrefix="0" xfId="1">
      <alignment vertical="center"/>
    </xf>
    <xf numFmtId="171" fontId="14" fillId="0" borderId="0" applyAlignment="1" pivotButton="0" quotePrefix="0" xfId="2">
      <alignment horizontal="right" vertical="center"/>
    </xf>
    <xf numFmtId="174" fontId="14" fillId="0" borderId="0" applyAlignment="1" pivotButton="0" quotePrefix="0" xfId="1">
      <alignment vertical="center"/>
    </xf>
    <xf numFmtId="171" fontId="14" fillId="0" borderId="14" applyAlignment="1" pivotButton="0" quotePrefix="0" xfId="0">
      <alignment horizontal="center" vertical="center"/>
    </xf>
    <xf numFmtId="170" fontId="14" fillId="0" borderId="14" applyAlignment="1" pivotButton="0" quotePrefix="0" xfId="1">
      <alignment vertical="center"/>
    </xf>
    <xf numFmtId="171" fontId="14" fillId="0" borderId="14" applyAlignment="1" pivotButton="0" quotePrefix="0" xfId="2">
      <alignment horizontal="right" vertical="center"/>
    </xf>
    <xf numFmtId="174" fontId="14" fillId="0" borderId="14" applyAlignment="1" pivotButton="0" quotePrefix="0" xfId="1">
      <alignment vertical="center"/>
    </xf>
    <xf numFmtId="0" fontId="16" fillId="0" borderId="13" applyAlignment="1" pivotButton="0" quotePrefix="0" xfId="0">
      <alignment horizontal="center" vertical="center"/>
    </xf>
    <xf numFmtId="0" fontId="21" fillId="0" borderId="52" applyAlignment="1" pivotButton="0" quotePrefix="0" xfId="0">
      <alignment vertical="center"/>
    </xf>
    <xf numFmtId="171" fontId="14" fillId="0" borderId="52" applyAlignment="1" pivotButton="0" quotePrefix="0" xfId="2">
      <alignment horizontal="right" vertical="center"/>
    </xf>
    <xf numFmtId="174" fontId="14" fillId="0" borderId="52" applyAlignment="1" pivotButton="0" quotePrefix="0" xfId="1">
      <alignment vertical="center"/>
    </xf>
    <xf numFmtId="0" fontId="63" fillId="0" borderId="53" applyAlignment="1" pivotButton="0" quotePrefix="0" xfId="0">
      <alignment horizontal="left" vertical="center"/>
    </xf>
    <xf numFmtId="0" fontId="64" fillId="0" borderId="54" applyAlignment="1" pivotButton="0" quotePrefix="0" xfId="0">
      <alignment vertical="center"/>
    </xf>
    <xf numFmtId="0" fontId="64" fillId="0" borderId="55" applyAlignment="1" pivotButton="0" quotePrefix="0" xfId="0">
      <alignment vertical="center"/>
    </xf>
    <xf numFmtId="0" fontId="62" fillId="0" borderId="54" applyAlignment="1" pivotButton="0" quotePrefix="0" xfId="0">
      <alignment horizontal="left" vertical="center"/>
    </xf>
    <xf numFmtId="0" fontId="62" fillId="0" borderId="54" applyAlignment="1" pivotButton="0" quotePrefix="0" xfId="0">
      <alignment horizontal="right" vertical="center"/>
    </xf>
    <xf numFmtId="0" fontId="62" fillId="0" borderId="56" applyAlignment="1" pivotButton="0" quotePrefix="0" xfId="0">
      <alignment horizontal="right" vertical="center"/>
    </xf>
    <xf numFmtId="0" fontId="16" fillId="0" borderId="55" applyAlignment="1" pivotButton="0" quotePrefix="0" xfId="0">
      <alignment horizontal="left" vertical="center"/>
    </xf>
    <xf numFmtId="0" fontId="62" fillId="0" borderId="57" applyAlignment="1" pivotButton="0" quotePrefix="0" xfId="0">
      <alignment horizontal="left" vertical="center"/>
    </xf>
    <xf numFmtId="0" fontId="21" fillId="0" borderId="58" applyAlignment="1" pivotButton="0" quotePrefix="0" xfId="0">
      <alignment vertical="center"/>
    </xf>
    <xf numFmtId="0" fontId="16" fillId="0" borderId="56" applyAlignment="1" pivotButton="0" quotePrefix="0" xfId="0">
      <alignment horizontal="right" vertical="center"/>
    </xf>
    <xf numFmtId="0" fontId="23" fillId="0" borderId="52" applyAlignment="1" pivotButton="0" quotePrefix="0" xfId="0">
      <alignment vertical="center"/>
    </xf>
    <xf numFmtId="170" fontId="14" fillId="0" borderId="0" applyAlignment="1" pivotButton="0" quotePrefix="0" xfId="0">
      <alignment vertical="center"/>
    </xf>
    <xf numFmtId="170" fontId="14" fillId="0" borderId="0" applyAlignment="1" pivotButton="0" quotePrefix="0" xfId="2">
      <alignment vertical="center"/>
    </xf>
    <xf numFmtId="0" fontId="85" fillId="0" borderId="15" applyAlignment="1" pivotButton="0" quotePrefix="0" xfId="0">
      <alignment horizontal="left" vertical="center"/>
    </xf>
    <xf numFmtId="0" fontId="56" fillId="0" borderId="15" applyAlignment="1" pivotButton="0" quotePrefix="0" xfId="0">
      <alignment horizontal="right" vertical="center"/>
    </xf>
    <xf numFmtId="0" fontId="56" fillId="0" borderId="15" applyAlignment="1" pivotButton="0" quotePrefix="0" xfId="0">
      <alignment horizontal="left" vertical="center"/>
    </xf>
    <xf numFmtId="0" fontId="89" fillId="0" borderId="0" applyAlignment="1" pivotButton="0" quotePrefix="0" xfId="0">
      <alignment horizontal="left" vertical="center"/>
    </xf>
    <xf numFmtId="0" fontId="56" fillId="0" borderId="18" applyAlignment="1" pivotButton="0" quotePrefix="0" xfId="0">
      <alignment horizontal="center" vertical="center"/>
    </xf>
    <xf numFmtId="0" fontId="85" fillId="0" borderId="18" applyAlignment="1" pivotButton="0" quotePrefix="0" xfId="0">
      <alignment horizontal="center" vertical="center"/>
    </xf>
    <xf numFmtId="0" fontId="87" fillId="0" borderId="18" applyAlignment="1" pivotButton="0" quotePrefix="0" xfId="0">
      <alignment horizontal="center" vertical="center"/>
    </xf>
    <xf numFmtId="0" fontId="87" fillId="0" borderId="0" applyAlignment="1" pivotButton="0" quotePrefix="0" xfId="0">
      <alignment horizontal="right" vertical="center"/>
    </xf>
    <xf numFmtId="3" fontId="62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horizontal="right" vertical="center"/>
    </xf>
    <xf numFmtId="3" fontId="85" fillId="0" borderId="0" applyAlignment="1" pivotButton="0" quotePrefix="0" xfId="0">
      <alignment horizontal="right" vertical="center"/>
    </xf>
    <xf numFmtId="0" fontId="85" fillId="0" borderId="0" applyAlignment="1" pivotButton="0" quotePrefix="0" xfId="0">
      <alignment horizontal="center" vertical="center"/>
    </xf>
    <xf numFmtId="0" fontId="88" fillId="0" borderId="14" applyAlignment="1" pivotButton="0" quotePrefix="0" xfId="0">
      <alignment horizontal="right" vertical="center"/>
    </xf>
    <xf numFmtId="0" fontId="56" fillId="0" borderId="14" applyAlignment="1" pivotButton="0" quotePrefix="0" xfId="0">
      <alignment horizontal="left" vertical="center"/>
    </xf>
    <xf numFmtId="0" fontId="56" fillId="0" borderId="14" applyAlignment="1" pivotButton="0" quotePrefix="0" xfId="0">
      <alignment horizontal="right" vertical="center"/>
    </xf>
    <xf numFmtId="0" fontId="85" fillId="0" borderId="14" applyAlignment="1" pivotButton="0" quotePrefix="0" xfId="0">
      <alignment horizontal="right" vertical="center"/>
    </xf>
    <xf numFmtId="0" fontId="85" fillId="0" borderId="14" applyAlignment="1" pivotButton="0" quotePrefix="0" xfId="0">
      <alignment horizontal="center" vertical="center"/>
    </xf>
    <xf numFmtId="0" fontId="85" fillId="0" borderId="13" applyAlignment="1" pivotButton="0" quotePrefix="0" xfId="0">
      <alignment horizontal="left" vertical="center"/>
    </xf>
    <xf numFmtId="0" fontId="85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vertical="center"/>
    </xf>
    <xf numFmtId="0" fontId="62" fillId="0" borderId="0" applyAlignment="1" pivotButton="0" quotePrefix="0" xfId="0">
      <alignment horizontal="center" vertical="center"/>
    </xf>
    <xf numFmtId="0" fontId="94" fillId="0" borderId="0" applyAlignment="1" pivotButton="0" quotePrefix="0" xfId="0">
      <alignment horizontal="right" vertical="center"/>
    </xf>
    <xf numFmtId="0" fontId="65" fillId="0" borderId="15" applyAlignment="1" pivotButton="0" quotePrefix="0" xfId="0">
      <alignment horizontal="center" vertical="center"/>
    </xf>
    <xf numFmtId="0" fontId="65" fillId="0" borderId="15" applyAlignment="1" pivotButton="0" quotePrefix="0" xfId="0">
      <alignment horizontal="left" vertical="center"/>
    </xf>
    <xf numFmtId="0" fontId="95" fillId="0" borderId="15" applyAlignment="1" pivotButton="0" quotePrefix="0" xfId="0">
      <alignment horizontal="left" vertical="center"/>
    </xf>
    <xf numFmtId="0" fontId="65" fillId="0" borderId="15" applyAlignment="1" pivotButton="0" quotePrefix="0" xfId="0">
      <alignment horizontal="right" vertical="center"/>
    </xf>
    <xf numFmtId="3" fontId="65" fillId="0" borderId="15" applyAlignment="1" pivotButton="0" quotePrefix="0" xfId="0">
      <alignment horizontal="right" vertical="center"/>
    </xf>
    <xf numFmtId="0" fontId="49" fillId="0" borderId="16" applyAlignment="1" pivotButton="0" quotePrefix="0" xfId="0">
      <alignment horizontal="center" vertical="center"/>
    </xf>
    <xf numFmtId="0" fontId="65" fillId="0" borderId="16" applyAlignment="1" pivotButton="0" quotePrefix="0" xfId="0">
      <alignment horizontal="left" vertical="center"/>
    </xf>
    <xf numFmtId="0" fontId="95" fillId="0" borderId="16" applyAlignment="1" pivotButton="0" quotePrefix="0" xfId="0">
      <alignment horizontal="left" vertical="center"/>
    </xf>
    <xf numFmtId="3" fontId="65" fillId="0" borderId="16" applyAlignment="1" pivotButton="0" quotePrefix="0" xfId="0">
      <alignment horizontal="right" vertical="center"/>
    </xf>
    <xf numFmtId="0" fontId="65" fillId="0" borderId="16" applyAlignment="1" pivotButton="0" quotePrefix="0" xfId="0">
      <alignment horizontal="right" vertical="center"/>
    </xf>
    <xf numFmtId="0" fontId="49" fillId="0" borderId="15" applyAlignment="1" pivotButton="0" quotePrefix="0" xfId="0">
      <alignment horizontal="center" vertical="center"/>
    </xf>
    <xf numFmtId="0" fontId="97" fillId="0" borderId="0" applyAlignment="1" pivotButton="0" quotePrefix="0" xfId="0">
      <alignment horizontal="left" vertical="center"/>
    </xf>
    <xf numFmtId="0" fontId="91" fillId="0" borderId="0" applyAlignment="1" pivotButton="0" quotePrefix="0" xfId="0">
      <alignment horizontal="left" vertical="center"/>
    </xf>
    <xf numFmtId="0" fontId="62" fillId="0" borderId="18" applyAlignment="1" pivotButton="0" quotePrefix="0" xfId="0">
      <alignment horizontal="center" vertical="center"/>
    </xf>
    <xf numFmtId="0" fontId="93" fillId="0" borderId="0" applyAlignment="1" pivotButton="0" quotePrefix="0" xfId="0">
      <alignment horizontal="left" vertical="center"/>
    </xf>
    <xf numFmtId="0" fontId="62" fillId="0" borderId="0" applyAlignment="1" pivotButton="0" quotePrefix="0" xfId="0">
      <alignment horizontal="right" vertical="center"/>
    </xf>
    <xf numFmtId="0" fontId="65" fillId="0" borderId="0" applyAlignment="1" pivotButton="0" quotePrefix="0" xfId="0">
      <alignment horizontal="center" vertical="center"/>
    </xf>
    <xf numFmtId="0" fontId="65" fillId="0" borderId="0" applyAlignment="1" pivotButton="0" quotePrefix="0" xfId="0">
      <alignment horizontal="left" vertical="center"/>
    </xf>
    <xf numFmtId="0" fontId="95" fillId="0" borderId="0" applyAlignment="1" pivotButton="0" quotePrefix="0" xfId="0">
      <alignment horizontal="left" vertical="center"/>
    </xf>
    <xf numFmtId="0" fontId="65" fillId="0" borderId="0" applyAlignment="1" pivotButton="0" quotePrefix="0" xfId="0">
      <alignment horizontal="right" vertical="center"/>
    </xf>
    <xf numFmtId="0" fontId="6" fillId="0" borderId="14" applyAlignment="1" pivotButton="0" quotePrefix="0" xfId="0">
      <alignment horizontal="left" vertical="center"/>
    </xf>
    <xf numFmtId="0" fontId="95" fillId="0" borderId="14" applyAlignment="1" pivotButton="0" quotePrefix="0" xfId="0">
      <alignment horizontal="left" vertical="center"/>
    </xf>
    <xf numFmtId="0" fontId="65" fillId="0" borderId="14" applyAlignment="1" pivotButton="0" quotePrefix="0" xfId="0">
      <alignment horizontal="right" vertical="center"/>
    </xf>
    <xf numFmtId="0" fontId="50" fillId="3" borderId="0" applyAlignment="1" pivotButton="0" quotePrefix="0" xfId="0">
      <alignment horizontal="left" vertical="center"/>
    </xf>
    <xf numFmtId="0" fontId="26" fillId="3" borderId="0" applyAlignment="1" pivotButton="0" quotePrefix="0" xfId="0">
      <alignment vertical="center"/>
    </xf>
    <xf numFmtId="0" fontId="99" fillId="0" borderId="8" applyAlignment="1" pivotButton="0" quotePrefix="0" xfId="0">
      <alignment horizontal="left" vertical="center"/>
    </xf>
    <xf numFmtId="0" fontId="93" fillId="0" borderId="8" applyAlignment="1" pivotButton="0" quotePrefix="0" xfId="0">
      <alignment horizontal="center" vertical="center"/>
    </xf>
    <xf numFmtId="0" fontId="101" fillId="0" borderId="0" applyAlignment="1" pivotButton="0" quotePrefix="0" xfId="0">
      <alignment horizontal="left" vertical="center"/>
    </xf>
    <xf numFmtId="0" fontId="102" fillId="0" borderId="0" applyAlignment="1" pivotButton="0" quotePrefix="0" xfId="0">
      <alignment horizontal="left" vertical="center"/>
    </xf>
    <xf numFmtId="0" fontId="99" fillId="0" borderId="12" applyAlignment="1" pivotButton="0" quotePrefix="0" xfId="0">
      <alignment horizontal="left" vertical="center"/>
    </xf>
    <xf numFmtId="0" fontId="62" fillId="0" borderId="12" applyAlignment="1" pivotButton="0" quotePrefix="0" xfId="0">
      <alignment horizontal="center" vertical="center"/>
    </xf>
    <xf numFmtId="0" fontId="99" fillId="0" borderId="12" applyAlignment="1" pivotButton="0" quotePrefix="0" xfId="0">
      <alignment horizontal="center" vertical="center"/>
    </xf>
    <xf numFmtId="0" fontId="99" fillId="0" borderId="0" applyAlignment="1" pivotButton="0" quotePrefix="0" xfId="0">
      <alignment horizontal="right" vertical="center"/>
    </xf>
    <xf numFmtId="0" fontId="99" fillId="0" borderId="0" applyAlignment="1" pivotButton="0" quotePrefix="0" xfId="0">
      <alignment horizontal="left" vertical="center"/>
    </xf>
    <xf numFmtId="0" fontId="99" fillId="0" borderId="0" applyAlignment="1" pivotButton="0" quotePrefix="0" xfId="0">
      <alignment horizontal="center" vertical="center"/>
    </xf>
    <xf numFmtId="0" fontId="93" fillId="0" borderId="0" applyAlignment="1" pivotButton="0" quotePrefix="0" xfId="0">
      <alignment horizontal="right" vertical="center"/>
    </xf>
    <xf numFmtId="0" fontId="100" fillId="0" borderId="14" applyAlignment="1" pivotButton="0" quotePrefix="0" xfId="0">
      <alignment horizontal="left" vertical="center"/>
    </xf>
    <xf numFmtId="0" fontId="93" fillId="0" borderId="14" applyAlignment="1" pivotButton="0" quotePrefix="0" xfId="0">
      <alignment horizontal="right" vertical="center"/>
    </xf>
    <xf numFmtId="3" fontId="62" fillId="0" borderId="14" applyAlignment="1" pivotButton="0" quotePrefix="0" xfId="0">
      <alignment horizontal="right" vertical="center"/>
    </xf>
    <xf numFmtId="0" fontId="62" fillId="0" borderId="14" applyAlignment="1" pivotButton="0" quotePrefix="0" xfId="0">
      <alignment horizontal="right" vertical="center"/>
    </xf>
    <xf numFmtId="0" fontId="99" fillId="0" borderId="14" applyAlignment="1" pivotButton="0" quotePrefix="0" xfId="0">
      <alignment horizontal="left" vertical="center"/>
    </xf>
    <xf numFmtId="0" fontId="99" fillId="0" borderId="14" applyAlignment="1" pivotButton="0" quotePrefix="0" xfId="0">
      <alignment horizontal="center" vertical="center"/>
    </xf>
    <xf numFmtId="0" fontId="99" fillId="0" borderId="14" applyAlignment="1" pivotButton="0" quotePrefix="0" xfId="0">
      <alignment horizontal="right" vertical="center"/>
    </xf>
    <xf numFmtId="0" fontId="62" fillId="0" borderId="14" applyAlignment="1" pivotButton="0" quotePrefix="0" xfId="0">
      <alignment horizontal="center" vertical="center"/>
    </xf>
    <xf numFmtId="174" fontId="62" fillId="0" borderId="0" applyAlignment="1" pivotButton="0" quotePrefix="0" xfId="0">
      <alignment horizontal="right" vertical="center"/>
    </xf>
    <xf numFmtId="174" fontId="85" fillId="0" borderId="0" applyAlignment="1" pivotButton="0" quotePrefix="0" xfId="0">
      <alignment horizontal="right" vertical="center"/>
    </xf>
    <xf numFmtId="0" fontId="94" fillId="0" borderId="0" applyAlignment="1" pivotButton="0" quotePrefix="0" xfId="0">
      <alignment vertical="center"/>
    </xf>
    <xf numFmtId="0" fontId="104" fillId="0" borderId="0" applyAlignment="1" pivotButton="0" quotePrefix="0" xfId="0">
      <alignment vertical="center"/>
    </xf>
    <xf numFmtId="0" fontId="104" fillId="0" borderId="0" applyAlignment="1" pivotButton="0" quotePrefix="0" xfId="0">
      <alignment horizontal="right" vertical="center"/>
    </xf>
    <xf numFmtId="0" fontId="104" fillId="0" borderId="0" applyAlignment="1" pivotButton="0" quotePrefix="0" xfId="0">
      <alignment horizontal="center" vertical="center"/>
    </xf>
    <xf numFmtId="0" fontId="94" fillId="0" borderId="0" applyAlignment="1" pivotButton="0" quotePrefix="0" xfId="0">
      <alignment horizontal="center" vertical="center"/>
    </xf>
    <xf numFmtId="0" fontId="105" fillId="0" borderId="0" applyAlignment="1" pivotButton="0" quotePrefix="0" xfId="0">
      <alignment vertical="center"/>
    </xf>
    <xf numFmtId="0" fontId="105" fillId="0" borderId="0" applyAlignment="1" pivotButton="0" quotePrefix="0" xfId="0">
      <alignment horizontal="center" vertical="center"/>
    </xf>
    <xf numFmtId="0" fontId="64" fillId="0" borderId="12" applyAlignment="1" pivotButton="0" quotePrefix="0" xfId="0">
      <alignment vertical="center"/>
    </xf>
    <xf numFmtId="0" fontId="64" fillId="0" borderId="8" applyAlignment="1" pivotButton="0" quotePrefix="0" xfId="0">
      <alignment vertical="center"/>
    </xf>
    <xf numFmtId="0" fontId="64" fillId="0" borderId="13" applyAlignment="1" pivotButton="0" quotePrefix="0" xfId="0">
      <alignment vertical="center"/>
    </xf>
    <xf numFmtId="0" fontId="64" fillId="0" borderId="13" applyAlignment="1" pivotButton="0" quotePrefix="0" xfId="0">
      <alignment horizontal="center" vertical="center"/>
    </xf>
    <xf numFmtId="165" fontId="64" fillId="0" borderId="13" applyAlignment="1" pivotButton="0" quotePrefix="0" xfId="0">
      <alignment vertical="center"/>
    </xf>
    <xf numFmtId="166" fontId="64" fillId="0" borderId="13" applyAlignment="1" pivotButton="0" quotePrefix="0" xfId="0">
      <alignment vertical="center"/>
    </xf>
    <xf numFmtId="170" fontId="64" fillId="0" borderId="0" applyAlignment="1" pivotButton="0" quotePrefix="0" xfId="1">
      <alignment horizontal="right" vertical="center"/>
    </xf>
    <xf numFmtId="169" fontId="106" fillId="0" borderId="0" applyAlignment="1" pivotButton="0" quotePrefix="0" xfId="0">
      <alignment vertical="center"/>
    </xf>
    <xf numFmtId="0" fontId="106" fillId="0" borderId="0" applyAlignment="1" pivotButton="0" quotePrefix="0" xfId="0">
      <alignment horizontal="center" vertical="center"/>
    </xf>
    <xf numFmtId="0" fontId="106" fillId="0" borderId="0" applyAlignment="1" pivotButton="0" quotePrefix="0" xfId="0">
      <alignment vertical="center"/>
    </xf>
    <xf numFmtId="0" fontId="65" fillId="0" borderId="0" applyAlignment="1" pivotButton="0" quotePrefix="0" xfId="0">
      <alignment vertical="center"/>
    </xf>
    <xf numFmtId="0" fontId="106" fillId="0" borderId="0" applyAlignment="1" pivotButton="0" quotePrefix="0" xfId="0">
      <alignment horizontal="right" vertical="center"/>
    </xf>
    <xf numFmtId="172" fontId="64" fillId="0" borderId="0" applyAlignment="1" pivotButton="0" quotePrefix="0" xfId="2">
      <alignment horizontal="right" vertical="center"/>
    </xf>
    <xf numFmtId="164" fontId="64" fillId="0" borderId="0" applyAlignment="1" pivotButton="0" quotePrefix="0" xfId="1">
      <alignment horizontal="right" vertical="center"/>
    </xf>
    <xf numFmtId="165" fontId="64" fillId="0" borderId="0" applyAlignment="1" pivotButton="0" quotePrefix="0" xfId="0">
      <alignment vertical="center"/>
    </xf>
    <xf numFmtId="169" fontId="62" fillId="0" borderId="0" applyAlignment="1" pivotButton="0" quotePrefix="0" xfId="0">
      <alignment vertical="center"/>
    </xf>
    <xf numFmtId="0" fontId="106" fillId="0" borderId="14" applyAlignment="1" pivotButton="0" quotePrefix="0" xfId="0">
      <alignment vertical="center"/>
    </xf>
    <xf numFmtId="170" fontId="64" fillId="0" borderId="14" applyAlignment="1" pivotButton="0" quotePrefix="0" xfId="1">
      <alignment horizontal="right" vertical="center"/>
    </xf>
    <xf numFmtId="166" fontId="64" fillId="0" borderId="14" applyAlignment="1" pivotButton="0" quotePrefix="0" xfId="0">
      <alignment vertical="center"/>
    </xf>
    <xf numFmtId="165" fontId="64" fillId="0" borderId="14" applyAlignment="1" pivotButton="0" quotePrefix="0" xfId="0">
      <alignment vertical="center"/>
    </xf>
    <xf numFmtId="169" fontId="64" fillId="0" borderId="14" applyAlignment="1" pivotButton="0" quotePrefix="0" xfId="0">
      <alignment vertical="center"/>
    </xf>
    <xf numFmtId="169" fontId="106" fillId="0" borderId="14" applyAlignment="1" pivotButton="0" quotePrefix="0" xfId="0">
      <alignment vertical="center"/>
    </xf>
    <xf numFmtId="0" fontId="106" fillId="0" borderId="14" applyAlignment="1" pivotButton="0" quotePrefix="0" xfId="0">
      <alignment horizontal="center" vertical="center"/>
    </xf>
    <xf numFmtId="0" fontId="107" fillId="0" borderId="0" applyAlignment="1" pivotButton="0" quotePrefix="0" xfId="0">
      <alignment vertical="center"/>
    </xf>
    <xf numFmtId="0" fontId="108" fillId="0" borderId="0" applyAlignment="1" pivotButton="0" quotePrefix="0" xfId="0">
      <alignment vertical="center"/>
    </xf>
    <xf numFmtId="167" fontId="108" fillId="0" borderId="0" applyAlignment="1" pivotButton="0" quotePrefix="0" xfId="0">
      <alignment horizontal="left" vertical="center"/>
    </xf>
    <xf numFmtId="167" fontId="108" fillId="0" borderId="0" applyAlignment="1" pivotButton="0" quotePrefix="0" xfId="0">
      <alignment horizontal="center" vertical="center"/>
    </xf>
    <xf numFmtId="0" fontId="108" fillId="0" borderId="0" applyAlignment="1" pivotButton="0" quotePrefix="0" xfId="0">
      <alignment horizontal="left" vertical="center"/>
    </xf>
    <xf numFmtId="0" fontId="108" fillId="0" borderId="0" applyAlignment="1" pivotButton="0" quotePrefix="0" xfId="0">
      <alignment horizontal="center" vertical="center"/>
    </xf>
    <xf numFmtId="0" fontId="96" fillId="0" borderId="0" applyAlignment="1" pivotButton="0" quotePrefix="0" xfId="0">
      <alignment vertical="center"/>
    </xf>
    <xf numFmtId="0" fontId="96" fillId="0" borderId="0" applyAlignment="1" pivotButton="0" quotePrefix="0" xfId="0">
      <alignment horizontal="center" vertical="center"/>
    </xf>
    <xf numFmtId="0" fontId="110" fillId="0" borderId="0" applyAlignment="1" pivotButton="0" quotePrefix="0" xfId="0">
      <alignment vertical="center"/>
    </xf>
    <xf numFmtId="0" fontId="15" fillId="0" borderId="12" applyAlignment="1" pivotButton="0" quotePrefix="0" xfId="0">
      <alignment vertical="center"/>
    </xf>
    <xf numFmtId="0" fontId="111" fillId="0" borderId="0" applyAlignment="1" pivotButton="0" quotePrefix="0" xfId="0">
      <alignment vertical="center"/>
    </xf>
    <xf numFmtId="174" fontId="111" fillId="0" borderId="0" applyAlignment="1" pivotButton="0" quotePrefix="0" xfId="0">
      <alignment vertical="center"/>
    </xf>
    <xf numFmtId="174" fontId="62" fillId="0" borderId="14" applyAlignment="1" pivotButton="0" quotePrefix="0" xfId="0">
      <alignment horizontal="right" vertical="center"/>
    </xf>
    <xf numFmtId="169" fontId="85" fillId="0" borderId="0" applyAlignment="1" pivotButton="0" quotePrefix="0" xfId="0">
      <alignment horizontal="right" vertical="center"/>
    </xf>
    <xf numFmtId="169" fontId="111" fillId="0" borderId="0" applyAlignment="1" pivotButton="0" quotePrefix="0" xfId="0">
      <alignment vertical="center"/>
    </xf>
    <xf numFmtId="0" fontId="93" fillId="0" borderId="16" applyAlignment="1" pivotButton="0" quotePrefix="0" xfId="0">
      <alignment horizontal="right" vertical="center"/>
    </xf>
    <xf numFmtId="0" fontId="62" fillId="0" borderId="16" applyAlignment="1" pivotButton="0" quotePrefix="0" xfId="0">
      <alignment horizontal="right" vertical="center"/>
    </xf>
    <xf numFmtId="0" fontId="62" fillId="0" borderId="16" applyAlignment="1" pivotButton="0" quotePrefix="0" xfId="0">
      <alignment horizontal="center" vertical="center"/>
    </xf>
    <xf numFmtId="0" fontId="62" fillId="0" borderId="15" applyAlignment="1" pivotButton="0" quotePrefix="0" xfId="0">
      <alignment horizontal="center" vertical="center"/>
    </xf>
    <xf numFmtId="0" fontId="90" fillId="0" borderId="0" applyAlignment="1" pivotButton="0" quotePrefix="0" xfId="0">
      <alignment horizontal="left" vertical="center"/>
    </xf>
    <xf numFmtId="174" fontId="62" fillId="0" borderId="16" applyAlignment="1" pivotButton="0" quotePrefix="0" xfId="0">
      <alignment horizontal="right" vertical="center"/>
    </xf>
    <xf numFmtId="0" fontId="62" fillId="0" borderId="15" applyAlignment="1" pivotButton="0" quotePrefix="0" xfId="0">
      <alignment horizontal="left" vertical="center"/>
    </xf>
    <xf numFmtId="2" fontId="62" fillId="0" borderId="0" applyAlignment="1" pivotButton="0" quotePrefix="0" xfId="0">
      <alignment horizontal="right" vertical="center"/>
    </xf>
    <xf numFmtId="2" fontId="111" fillId="0" borderId="0" applyAlignment="1" pivotButton="0" quotePrefix="0" xfId="0">
      <alignment vertical="center"/>
    </xf>
    <xf numFmtId="2" fontId="85" fillId="0" borderId="0" applyAlignment="1" pivotButton="0" quotePrefix="0" xfId="0">
      <alignment horizontal="right" vertical="center"/>
    </xf>
    <xf numFmtId="2" fontId="62" fillId="0" borderId="14" applyAlignment="1" pivotButton="0" quotePrefix="0" xfId="0">
      <alignment horizontal="right" vertical="center"/>
    </xf>
    <xf numFmtId="0" fontId="33" fillId="0" borderId="12" applyAlignment="1" pivotButton="0" quotePrefix="0" xfId="0">
      <alignment horizontal="center" vertical="center"/>
    </xf>
    <xf numFmtId="0" fontId="18" fillId="0" borderId="16" applyAlignment="1" pivotButton="0" quotePrefix="0" xfId="0">
      <alignment horizontal="left" vertical="center"/>
    </xf>
    <xf numFmtId="0" fontId="35" fillId="0" borderId="16" applyAlignment="1" pivotButton="0" quotePrefix="0" xfId="0">
      <alignment horizontal="left" vertical="center"/>
    </xf>
    <xf numFmtId="0" fontId="31" fillId="0" borderId="16" applyAlignment="1" pivotButton="0" quotePrefix="0" xfId="0">
      <alignment horizontal="left" vertical="center"/>
    </xf>
    <xf numFmtId="0" fontId="35" fillId="0" borderId="14" applyAlignment="1" pivotButton="0" quotePrefix="0" xfId="0">
      <alignment horizontal="left" vertical="center"/>
    </xf>
    <xf numFmtId="0" fontId="31" fillId="0" borderId="14" applyAlignment="1" pivotButton="0" quotePrefix="0" xfId="0">
      <alignment horizontal="left" vertical="center"/>
    </xf>
    <xf numFmtId="0" fontId="87" fillId="0" borderId="0" applyAlignment="1" pivotButton="0" quotePrefix="0" xfId="0">
      <alignment horizontal="left" vertical="center"/>
    </xf>
    <xf numFmtId="0" fontId="87" fillId="0" borderId="14" applyAlignment="1" pivotButton="0" quotePrefix="0" xfId="0">
      <alignment horizontal="left" vertical="center"/>
    </xf>
    <xf numFmtId="174" fontId="85" fillId="0" borderId="0" applyAlignment="1" pivotButton="0" quotePrefix="0" xfId="0">
      <alignment horizontal="left" vertical="center"/>
    </xf>
    <xf numFmtId="0" fontId="85" fillId="0" borderId="14" applyAlignment="1" pivotButton="0" quotePrefix="0" xfId="0">
      <alignment horizontal="left" vertical="center"/>
    </xf>
    <xf numFmtId="0" fontId="55" fillId="0" borderId="14" applyAlignment="1" pivotButton="0" quotePrefix="0" xfId="0">
      <alignment vertical="center"/>
    </xf>
    <xf numFmtId="0" fontId="93" fillId="0" borderId="14" applyAlignment="1" pivotButton="0" quotePrefix="0" xfId="0">
      <alignment horizontal="left" vertical="center"/>
    </xf>
    <xf numFmtId="0" fontId="112" fillId="0" borderId="0" applyAlignment="1" pivotButton="0" quotePrefix="0" xfId="0">
      <alignment horizontal="left" vertical="center"/>
    </xf>
    <xf numFmtId="0" fontId="113" fillId="0" borderId="0" applyAlignment="1" pivotButton="0" quotePrefix="0" xfId="0">
      <alignment vertical="center"/>
    </xf>
    <xf numFmtId="0" fontId="114" fillId="0" borderId="0" applyAlignment="1" pivotButton="0" quotePrefix="0" xfId="0">
      <alignment horizontal="center" vertical="center"/>
    </xf>
    <xf numFmtId="0" fontId="114" fillId="0" borderId="0" applyAlignment="1" pivotButton="0" quotePrefix="0" xfId="0">
      <alignment vertical="center"/>
    </xf>
    <xf numFmtId="0" fontId="115" fillId="0" borderId="0" applyAlignment="1" pivotButton="0" quotePrefix="0" xfId="0">
      <alignment vertical="center"/>
    </xf>
    <xf numFmtId="3" fontId="85" fillId="0" borderId="0" applyAlignment="1" pivotButton="0" quotePrefix="0" xfId="0">
      <alignment horizontal="left" vertical="center"/>
    </xf>
    <xf numFmtId="3" fontId="62" fillId="0" borderId="16" applyAlignment="1" pivotButton="0" quotePrefix="0" xfId="0">
      <alignment horizontal="right" vertical="center"/>
    </xf>
    <xf numFmtId="3" fontId="62" fillId="0" borderId="0" applyAlignment="1" pivotButton="0" quotePrefix="0" xfId="0">
      <alignment horizontal="left" vertical="center"/>
    </xf>
    <xf numFmtId="0" fontId="62" fillId="0" borderId="12" applyAlignment="1" pivotButton="0" quotePrefix="0" xfId="0">
      <alignment horizontal="left" vertical="center"/>
    </xf>
    <xf numFmtId="0" fontId="62" fillId="0" borderId="8" applyAlignment="1" pivotButton="0" quotePrefix="0" xfId="0">
      <alignment horizontal="left" vertical="center"/>
    </xf>
    <xf numFmtId="174" fontId="94" fillId="0" borderId="0" applyAlignment="1" pivotButton="0" quotePrefix="0" xfId="0">
      <alignment vertical="center"/>
    </xf>
    <xf numFmtId="0" fontId="62" fillId="0" borderId="16" applyAlignment="1" pivotButton="0" quotePrefix="0" xfId="0">
      <alignment horizontal="left" vertical="center"/>
    </xf>
    <xf numFmtId="3" fontId="94" fillId="0" borderId="0" applyAlignment="1" pivotButton="0" quotePrefix="0" xfId="0">
      <alignment vertical="center"/>
    </xf>
    <xf numFmtId="174" fontId="62" fillId="0" borderId="0" applyAlignment="1" pivotButton="0" quotePrefix="0" xfId="0">
      <alignment horizontal="left" vertical="center"/>
    </xf>
    <xf numFmtId="0" fontId="62" fillId="0" borderId="14" applyAlignment="1" pivotButton="0" quotePrefix="0" xfId="0">
      <alignment horizontal="left" vertical="center"/>
    </xf>
    <xf numFmtId="174" fontId="62" fillId="0" borderId="15" applyAlignment="1" pivotButton="0" quotePrefix="0" xfId="0">
      <alignment horizontal="right" vertical="center"/>
    </xf>
    <xf numFmtId="0" fontId="89" fillId="0" borderId="0" applyAlignment="1" pivotButton="0" quotePrefix="0" xfId="0">
      <alignment vertical="center"/>
    </xf>
    <xf numFmtId="0" fontId="68" fillId="0" borderId="4" applyAlignment="1" pivotButton="0" quotePrefix="0" xfId="0">
      <alignment vertical="center"/>
    </xf>
    <xf numFmtId="0" fontId="71" fillId="0" borderId="37" applyAlignment="1" pivotButton="0" quotePrefix="0" xfId="0">
      <alignment vertical="center"/>
    </xf>
    <xf numFmtId="0" fontId="68" fillId="0" borderId="0" applyAlignment="1" pivotButton="0" quotePrefix="0" xfId="0">
      <alignment horizontal="left" vertical="center"/>
    </xf>
    <xf numFmtId="0" fontId="71" fillId="0" borderId="0" applyAlignment="1" pivotButton="0" quotePrefix="0" xfId="0">
      <alignment vertical="center"/>
    </xf>
    <xf numFmtId="0" fontId="69" fillId="0" borderId="0" applyAlignment="1" pivotButton="0" quotePrefix="0" xfId="0">
      <alignment vertical="center"/>
    </xf>
    <xf numFmtId="0" fontId="76" fillId="0" borderId="0" applyAlignment="1" pivotButton="0" quotePrefix="0" xfId="0">
      <alignment vertical="center"/>
    </xf>
    <xf numFmtId="0" fontId="68" fillId="0" borderId="13" applyAlignment="1" pivotButton="0" quotePrefix="0" xfId="0">
      <alignment vertical="center"/>
    </xf>
    <xf numFmtId="0" fontId="71" fillId="0" borderId="13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33" fillId="0" borderId="12" applyAlignment="1" pivotButton="0" quotePrefix="0" xfId="0">
      <alignment horizontal="center" vertical="center"/>
    </xf>
    <xf numFmtId="0" fontId="31" fillId="0" borderId="13" applyAlignment="1" pivotButton="0" quotePrefix="0" xfId="0">
      <alignment vertical="center"/>
    </xf>
    <xf numFmtId="0" fontId="15" fillId="0" borderId="13" applyAlignment="1" pivotButton="0" quotePrefix="0" xfId="0">
      <alignment vertical="center"/>
    </xf>
    <xf numFmtId="0" fontId="31" fillId="0" borderId="15" applyAlignment="1" pivotButton="0" quotePrefix="0" xfId="0">
      <alignment vertical="center"/>
    </xf>
    <xf numFmtId="0" fontId="15" fillId="0" borderId="15" applyAlignment="1" pivotButton="0" quotePrefix="0" xfId="0">
      <alignment vertical="center"/>
    </xf>
    <xf numFmtId="0" fontId="89" fillId="0" borderId="0" applyAlignment="1" pivotButton="0" quotePrefix="0" xfId="0">
      <alignment horizontal="left" vertical="center"/>
    </xf>
    <xf numFmtId="0" fontId="98" fillId="0" borderId="0" applyAlignment="1" pivotButton="0" quotePrefix="0" xfId="0">
      <alignment horizontal="left" vertical="center"/>
    </xf>
    <xf numFmtId="0" fontId="16" fillId="0" borderId="20" applyAlignment="1" pivotButton="0" quotePrefix="0" xfId="0">
      <alignment horizontal="center" vertical="center"/>
    </xf>
    <xf numFmtId="0" fontId="16" fillId="0" borderId="12" applyAlignment="1" pivotButton="0" quotePrefix="0" xfId="0">
      <alignment horizontal="center" vertical="center"/>
    </xf>
    <xf numFmtId="0" fontId="16" fillId="0" borderId="19" applyAlignment="1" pivotButton="0" quotePrefix="0" xfId="0">
      <alignment horizontal="center" vertical="center"/>
    </xf>
    <xf numFmtId="0" fontId="64" fillId="0" borderId="12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4" fillId="0" borderId="15" applyAlignment="1" pivotButton="0" quotePrefix="0" xfId="0">
      <alignment horizontal="center" vertical="center"/>
    </xf>
    <xf numFmtId="0" fontId="64" fillId="0" borderId="0" applyAlignment="1" pivotButton="0" quotePrefix="0" xfId="0">
      <alignment horizontal="center" vertical="center"/>
    </xf>
    <xf numFmtId="0" fontId="64" fillId="0" borderId="39" applyAlignment="1" pivotButton="0" quotePrefix="0" xfId="0">
      <alignment horizontal="center" vertical="center"/>
    </xf>
    <xf numFmtId="0" fontId="64" fillId="0" borderId="43" applyAlignment="1" pivotButton="0" quotePrefix="0" xfId="0">
      <alignment horizontal="center" vertical="center"/>
    </xf>
    <xf numFmtId="0" fontId="14" fillId="0" borderId="12" applyAlignment="1" pivotButton="0" quotePrefix="0" xfId="0">
      <alignment horizontal="center" vertical="center"/>
    </xf>
    <xf numFmtId="0" fontId="64" fillId="0" borderId="50" applyAlignment="1" pivotButton="0" quotePrefix="0" xfId="0">
      <alignment horizontal="center" vertical="center"/>
    </xf>
    <xf numFmtId="0" fontId="64" fillId="0" borderId="22" applyAlignment="1" pivotButton="0" quotePrefix="0" xfId="0">
      <alignment horizontal="center" vertical="center"/>
    </xf>
    <xf numFmtId="0" fontId="64" fillId="0" borderId="20" applyAlignment="1" pivotButton="0" quotePrefix="0" xfId="0">
      <alignment horizontal="center" vertical="center"/>
    </xf>
    <xf numFmtId="0" fontId="64" fillId="0" borderId="19" applyAlignment="1" pivotButton="0" quotePrefix="0" xfId="0">
      <alignment horizontal="center" vertical="center"/>
    </xf>
    <xf numFmtId="0" fontId="116" fillId="0" borderId="0" applyAlignment="1" pivotButton="0" quotePrefix="0" xfId="0">
      <alignment horizontal="center" vertical="center"/>
    </xf>
    <xf numFmtId="0" fontId="116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3" fontId="116" fillId="0" borderId="0" applyAlignment="1" pivotButton="0" quotePrefix="0" xfId="0">
      <alignment vertical="center"/>
    </xf>
    <xf numFmtId="0" fontId="117" fillId="0" borderId="0" applyAlignment="1" pivotButton="0" quotePrefix="0" xfId="0">
      <alignment vertical="center"/>
    </xf>
    <xf numFmtId="0" fontId="118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16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vertical="center"/>
    </xf>
    <xf numFmtId="0" fontId="116" fillId="0" borderId="0" applyAlignment="1" pivotButton="0" quotePrefix="0" xfId="0">
      <alignment horizontal="center" vertical="center" wrapText="1"/>
    </xf>
    <xf numFmtId="3" fontId="1" fillId="12" borderId="17" applyAlignment="1" pivotButton="0" quotePrefix="0" xfId="0">
      <alignment vertical="center"/>
    </xf>
    <xf numFmtId="0" fontId="119" fillId="0" borderId="0" applyAlignment="1" pivotButton="0" quotePrefix="0" xfId="0">
      <alignment horizontal="right" vertical="center"/>
    </xf>
    <xf numFmtId="0" fontId="116" fillId="3" borderId="0" applyAlignment="1" pivotButton="0" quotePrefix="0" xfId="0">
      <alignment horizontal="right" vertical="center"/>
    </xf>
    <xf numFmtId="0" fontId="0" fillId="0" borderId="0" pivotButton="0" quotePrefix="0" xfId="0"/>
    <xf numFmtId="0" fontId="121" fillId="13" borderId="67" applyAlignment="1" pivotButton="0" quotePrefix="0" xfId="0">
      <alignment vertical="center" wrapText="1"/>
    </xf>
    <xf numFmtId="0" fontId="120" fillId="0" borderId="67" applyAlignment="1" pivotButton="0" quotePrefix="0" xfId="0">
      <alignment vertical="center" wrapText="1"/>
    </xf>
  </cellXfs>
  <cellStyles count="4">
    <cellStyle name="Normal" xfId="0" builtinId="0"/>
    <cellStyle name="Percent" xfId="1" builtinId="5"/>
    <cellStyle name="Comma [0]" xfId="2" builtinId="6"/>
    <cellStyle name="쉼표 [0]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topLeftCell="A10" workbookViewId="0">
      <selection activeCell="A20" sqref="A20:B36"/>
    </sheetView>
  </sheetViews>
  <sheetFormatPr baseColWidth="8" defaultRowHeight="20.1" customHeight="1"/>
  <cols>
    <col width="21.44140625" customWidth="1" style="50" min="1" max="1"/>
    <col width="60.6640625" customWidth="1" style="584" min="2" max="2"/>
    <col width="15.6640625" customWidth="1" style="584" min="3" max="3"/>
    <col width="14.21875" customWidth="1" style="584" min="4" max="4"/>
    <col width="34" customWidth="1" style="584" min="5" max="5"/>
    <col width="25.44140625" customWidth="1" style="584" min="6" max="6"/>
  </cols>
  <sheetData>
    <row r="1" ht="20.1" customFormat="1" customHeight="1" s="49">
      <c r="A1" s="569" t="inlineStr">
        <is>
          <t>정의 기준</t>
        </is>
      </c>
      <c r="B1" s="570" t="inlineStr">
        <is>
          <t>우울 증상군 정의</t>
        </is>
      </c>
      <c r="C1" s="571" t="n"/>
      <c r="D1" s="571" t="n"/>
      <c r="E1" s="571" t="n"/>
      <c r="F1" s="571" t="n"/>
    </row>
    <row r="2" ht="20.1" customFormat="1" customHeight="1" s="49">
      <c r="B2" s="571" t="inlineStr">
        <is>
          <t>PHQ-9 조사에 참여한사람</t>
        </is>
      </c>
      <c r="C2" s="572">
        <f>D10</f>
        <v/>
      </c>
      <c r="D2" s="571" t="n"/>
      <c r="E2" s="571" t="n"/>
      <c r="F2" s="571" t="n"/>
    </row>
    <row r="3" ht="20.1" customFormat="1" customHeight="1" s="49">
      <c r="B3" s="571" t="n"/>
      <c r="C3" s="572" t="n"/>
      <c r="D3" s="571" t="n"/>
      <c r="E3" s="571" t="n"/>
      <c r="F3" s="571" t="n"/>
    </row>
    <row r="4" ht="20.1" customFormat="1" customHeight="1" s="49">
      <c r="B4" s="571" t="n"/>
      <c r="C4" s="573" t="n"/>
      <c r="D4" s="571" t="n"/>
      <c r="E4" s="571" t="n"/>
      <c r="F4" s="571" t="n"/>
    </row>
    <row r="5" ht="20.1" customFormat="1" customHeight="1" s="49">
      <c r="B5" s="570" t="n"/>
      <c r="C5" s="571" t="n"/>
      <c r="D5" s="571" t="n"/>
      <c r="E5" s="571" t="n"/>
      <c r="F5" s="571" t="n"/>
    </row>
    <row r="6" ht="15.6" customFormat="1" customHeight="1" s="49">
      <c r="B6" s="574" t="n"/>
      <c r="C6" s="571" t="n"/>
      <c r="D6" s="571" t="n"/>
      <c r="E6" s="571" t="n"/>
      <c r="F6" s="572" t="n"/>
    </row>
    <row r="7" ht="20.1" customFormat="1" customHeight="1" s="49">
      <c r="B7" s="570" t="n"/>
      <c r="C7" s="571" t="n"/>
      <c r="D7" s="571" t="n"/>
      <c r="E7" s="571" t="n"/>
      <c r="F7" s="571" t="n"/>
    </row>
    <row r="8" ht="20.1" customFormat="1" customHeight="1" s="49">
      <c r="A8" s="575" t="n"/>
      <c r="B8" s="571" t="n"/>
      <c r="C8" s="576" t="n"/>
      <c r="D8" s="571" t="n"/>
      <c r="E8" s="571" t="n"/>
      <c r="F8" s="571" t="n"/>
    </row>
    <row r="9" ht="20.1" customFormat="1" customHeight="1" s="49">
      <c r="A9" s="577" t="n"/>
      <c r="B9" s="571" t="n"/>
      <c r="C9" s="577" t="inlineStr">
        <is>
          <t>제거 환자수</t>
        </is>
      </c>
      <c r="D9" s="577" t="inlineStr">
        <is>
          <t>총 환자 수</t>
        </is>
      </c>
      <c r="E9" s="577" t="inlineStr">
        <is>
          <t>우울증 환자 수</t>
        </is>
      </c>
      <c r="F9" s="577" t="inlineStr">
        <is>
          <t>우울증 환자 비율 (%)</t>
        </is>
      </c>
    </row>
    <row r="10" ht="20.1" customFormat="1" customHeight="1" s="49">
      <c r="A10" s="580" t="inlineStr">
        <is>
          <t>제외 기준</t>
        </is>
      </c>
      <c r="B10" s="579" t="inlineStr">
        <is>
          <t>1) PHQ-9 관련 설문 응답 결측</t>
        </is>
      </c>
      <c r="C10" s="572" t="n">
        <v>12019</v>
      </c>
      <c r="D10" s="572">
        <f>44313-C10</f>
        <v/>
      </c>
      <c r="E10" s="576" t="n">
        <v>6072</v>
      </c>
      <c r="F10" s="571">
        <f>ROUND((E10/D10)*100,1)</f>
        <v/>
      </c>
    </row>
    <row r="11" ht="20.1" customFormat="1" customHeight="1" s="49">
      <c r="B11" s="579" t="inlineStr">
        <is>
          <t>2) 안정시 심박수 결측 또는 비정상 범위</t>
        </is>
      </c>
      <c r="C11" s="572" t="n">
        <v>201</v>
      </c>
      <c r="D11" s="572">
        <f>D10-C11</f>
        <v/>
      </c>
      <c r="E11" s="576" t="n">
        <v>6030</v>
      </c>
      <c r="F11" s="571">
        <f>ROUND((E11/D11)*100,1)</f>
        <v/>
      </c>
    </row>
    <row r="12" ht="20.1" customFormat="1" customHeight="1" s="49">
      <c r="A12" s="580" t="n"/>
      <c r="B12" s="579" t="inlineStr">
        <is>
          <t>3) 고혈압 환자</t>
        </is>
      </c>
      <c r="C12" s="572" t="n">
        <v>8179</v>
      </c>
      <c r="D12" s="572">
        <f>D11-C12</f>
        <v/>
      </c>
      <c r="E12" s="576" t="n">
        <v>4481</v>
      </c>
      <c r="F12" s="571">
        <f>ROUND((E12/D12)*100,1)</f>
        <v/>
      </c>
    </row>
    <row r="13" ht="20.1" customFormat="1" customHeight="1" s="49">
      <c r="A13" s="580" t="n"/>
      <c r="B13" s="579" t="inlineStr">
        <is>
          <t>4)뇌졸증 환자</t>
        </is>
      </c>
      <c r="C13" s="572" t="n">
        <v>187</v>
      </c>
      <c r="D13" s="572">
        <f>D12-C13</f>
        <v/>
      </c>
      <c r="E13" s="576" t="n">
        <v>4440</v>
      </c>
      <c r="F13" s="571">
        <f>ROUND((E13/D13)*100,1)</f>
        <v/>
      </c>
    </row>
    <row r="14" ht="15" customHeight="1" s="584" thickBot="1">
      <c r="A14" s="577" t="n"/>
      <c r="B14" s="579" t="inlineStr">
        <is>
          <t>5) 심근경색증 환자</t>
        </is>
      </c>
      <c r="C14" s="571" t="n">
        <v>117</v>
      </c>
      <c r="D14" s="572">
        <f>D13-C14</f>
        <v/>
      </c>
      <c r="E14" s="571" t="n">
        <v>4415</v>
      </c>
      <c r="F14" s="571">
        <f>ROUND((E14/D14)*100,1)</f>
        <v/>
      </c>
    </row>
    <row r="15" ht="15" customHeight="1" s="584" thickBot="1">
      <c r="A15" s="577" t="n"/>
      <c r="B15" s="571" t="inlineStr">
        <is>
          <t>6) 협심증 환자</t>
        </is>
      </c>
      <c r="C15" s="581" t="n">
        <v>192</v>
      </c>
      <c r="D15" s="572">
        <f>D14-C15</f>
        <v/>
      </c>
      <c r="E15" s="582" t="n">
        <v>4375</v>
      </c>
      <c r="F15" s="571">
        <f>ROUND((E15/D15)*100,1)</f>
        <v/>
      </c>
    </row>
    <row r="16" ht="20.1" customHeight="1" s="584">
      <c r="A16" s="577" t="n"/>
      <c r="B16" s="583" t="inlineStr">
        <is>
          <t>총 대상 환자</t>
        </is>
      </c>
      <c r="C16" s="572">
        <f>D15</f>
        <v/>
      </c>
      <c r="D16" s="571" t="n"/>
      <c r="E16" s="571" t="n"/>
      <c r="F16" s="571" t="n"/>
    </row>
    <row r="17" ht="20.1" customHeight="1" s="584">
      <c r="A17" s="577" t="n"/>
      <c r="B17" s="571" t="n"/>
      <c r="C17" s="571" t="n"/>
      <c r="D17" s="571" t="n"/>
      <c r="E17" s="571" t="n"/>
      <c r="F17" s="571" t="n"/>
    </row>
    <row r="18" ht="20.1" customHeight="1" s="584">
      <c r="A18" s="577" t="n"/>
      <c r="B18" s="571" t="n"/>
      <c r="C18" s="571" t="n"/>
      <c r="D18" s="571" t="n"/>
      <c r="E18" s="571" t="n"/>
      <c r="F18" s="571" t="n"/>
    </row>
    <row r="19" ht="20.1" customHeight="1" s="584">
      <c r="A19" s="577" t="n"/>
      <c r="B19" s="571" t="n"/>
      <c r="C19" s="571" t="n"/>
      <c r="D19" s="571" t="n"/>
      <c r="E19" s="571" t="n"/>
      <c r="F19" s="571" t="n"/>
    </row>
    <row r="20" ht="20.1" customHeight="1" s="584">
      <c r="A20" s="577" t="n"/>
      <c r="B20" s="571" t="n"/>
      <c r="C20" s="571" t="n"/>
      <c r="D20" s="571" t="n"/>
      <c r="E20" s="571" t="n"/>
      <c r="F20" s="571" t="n"/>
    </row>
  </sheetData>
  <mergeCells count="2">
    <mergeCell ref="A10:A11"/>
    <mergeCell ref="A1:A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84" min="1" max="1"/>
    <col width="55" customWidth="1" style="584" min="2" max="2"/>
  </cols>
  <sheetData>
    <row r="1">
      <c r="A1" s="585" t="inlineStr">
        <is>
          <t>Item</t>
        </is>
      </c>
      <c r="B1" s="585" t="inlineStr">
        <is>
          <t>Definition</t>
        </is>
      </c>
    </row>
    <row r="2">
      <c r="A2" s="586" t="inlineStr">
        <is>
          <t>Study topic</t>
        </is>
      </c>
      <c r="B2" s="586" t="inlineStr">
        <is>
          <t>Resting heart rate and PHQ-9 depressive symptoms among Korean adults</t>
        </is>
      </c>
    </row>
    <row r="3">
      <c r="A3" s="586" t="inlineStr">
        <is>
          <t>Data source</t>
        </is>
      </c>
      <c r="B3" s="586" t="inlineStr">
        <is>
          <t>KNHANES even survey years 2014-2024 (2014, 2016, 2018, 2020, 2022, 2024)</t>
        </is>
      </c>
    </row>
    <row r="4">
      <c r="A4" s="586" t="inlineStr">
        <is>
          <t>Final analytic cohort</t>
        </is>
      </c>
      <c r="B4" s="586" t="inlineStr">
        <is>
          <t>23,418 participants</t>
        </is>
      </c>
    </row>
    <row r="5">
      <c r="A5" s="586" t="inlineStr">
        <is>
          <t>Outcome</t>
        </is>
      </c>
      <c r="B5" s="586" t="inlineStr">
        <is>
          <t>Mild or greater depressive symptoms vs minimal symptoms</t>
        </is>
      </c>
    </row>
    <row r="6">
      <c r="A6" s="586" t="inlineStr">
        <is>
          <t>Outcome coding</t>
        </is>
      </c>
      <c r="B6" s="586" t="inlineStr">
        <is>
          <t>PHQ-9 0-4 = Minimal; PHQ-9 &gt;=5 = Mild_or_greater</t>
        </is>
      </c>
    </row>
    <row r="7">
      <c r="A7" s="586" t="inlineStr">
        <is>
          <t>Main exposure</t>
        </is>
      </c>
      <c r="B7" s="586" t="inlineStr">
        <is>
          <t>Resting heart rate measured for 60 seconds</t>
        </is>
      </c>
    </row>
    <row r="8">
      <c r="A8" s="586" t="inlineStr">
        <is>
          <t>Exposure categories</t>
        </is>
      </c>
      <c r="B8" s="586" t="inlineStr">
        <is>
          <t>&lt;60, 60-69, 70-79, 80-89, &gt;=90 bpm</t>
        </is>
      </c>
    </row>
    <row r="9">
      <c r="A9" s="586" t="inlineStr">
        <is>
          <t>Reference exposure</t>
        </is>
      </c>
      <c r="B9" s="586" t="inlineStr">
        <is>
          <t>&lt;60 bpm</t>
        </is>
      </c>
    </row>
    <row r="10">
      <c r="A10" s="586" t="inlineStr">
        <is>
          <t>Primary analysis</t>
        </is>
      </c>
      <c r="B10" s="586" t="inlineStr">
        <is>
          <t>Logistic regression; odds ratio (OR) and 95% confidence interval</t>
        </is>
      </c>
    </row>
    <row r="11">
      <c r="A11" s="586" t="inlineStr">
        <is>
          <t>Model 1</t>
        </is>
      </c>
      <c r="B11" s="586" t="inlineStr">
        <is>
          <t>Sociodemographic variables: age, sex, education, household income, marital status, working status</t>
        </is>
      </c>
    </row>
    <row r="12">
      <c r="A12" s="586" t="inlineStr">
        <is>
          <t>Model 2</t>
        </is>
      </c>
      <c r="B12" s="586" t="inlineStr">
        <is>
          <t>Model 1 + health behavior variables: alcohol, smoking, physical activity, sleep duration, BMI</t>
        </is>
      </c>
    </row>
    <row r="13">
      <c r="A13" s="586" t="inlineStr">
        <is>
          <t>Model 3</t>
        </is>
      </c>
      <c r="B13" s="586" t="inlineStr">
        <is>
          <t>Model 2 + resting heart rate group</t>
        </is>
      </c>
    </row>
    <row r="14">
      <c r="A14" s="586" t="inlineStr">
        <is>
          <t>Sex handling</t>
        </is>
      </c>
      <c r="B14" s="586" t="inlineStr">
        <is>
          <t>Sex is included as a demographic covariate; odds ratios are not stratified by sex</t>
        </is>
      </c>
    </row>
    <row r="15">
      <c r="A15" s="586" t="inlineStr">
        <is>
          <t>Exclusion summary</t>
        </is>
      </c>
      <c r="B15" s="586" t="inlineStr">
        <is>
          <t>See the preserved 연구대상자 sheet for cohort 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84" min="1" max="1"/>
    <col width="48" customWidth="1" style="584" min="2" max="2"/>
    <col width="55" customWidth="1" style="584" min="3" max="3"/>
    <col width="17" customWidth="1" style="584" min="4" max="4"/>
  </cols>
  <sheetData>
    <row r="1">
      <c r="A1" s="585" t="inlineStr">
        <is>
          <t>Model</t>
        </is>
      </c>
      <c r="B1" s="585" t="inlineStr">
        <is>
          <t>Label</t>
        </is>
      </c>
      <c r="C1" s="585" t="inlineStr">
        <is>
          <t>Adjusted covariates</t>
        </is>
      </c>
      <c r="D1" s="585" t="inlineStr">
        <is>
          <t>Complete-case N</t>
        </is>
      </c>
    </row>
    <row r="2">
      <c r="A2" s="586" t="inlineStr">
        <is>
          <t>Model 1</t>
        </is>
      </c>
      <c r="B2" s="586" t="inlineStr">
        <is>
          <t>Sociodemographic</t>
        </is>
      </c>
      <c r="C2" s="586" t="inlineStr">
        <is>
          <t>age, sex, education, income, marital status, working status</t>
        </is>
      </c>
      <c r="D2" s="586" t="inlineStr">
        <is>
          <t>23,322</t>
        </is>
      </c>
    </row>
    <row r="3">
      <c r="A3" s="586" t="inlineStr">
        <is>
          <t>Model 2</t>
        </is>
      </c>
      <c r="B3" s="586" t="inlineStr">
        <is>
          <t>Sociodemographic + health behavior</t>
        </is>
      </c>
      <c r="C3" s="586" t="inlineStr">
        <is>
          <t>Model 1 + alcohol, smoking, physical activity, sleep duration, BMI</t>
        </is>
      </c>
      <c r="D3" s="586" t="inlineStr">
        <is>
          <t>23,151</t>
        </is>
      </c>
    </row>
    <row r="4">
      <c r="A4" s="586" t="inlineStr">
        <is>
          <t>Model 3</t>
        </is>
      </c>
      <c r="B4" s="586" t="inlineStr">
        <is>
          <t>Sociodemographic + health behavior + RHR group</t>
        </is>
      </c>
      <c r="C4" s="586" t="inlineStr">
        <is>
          <t>Model 2 + resting heart rate group</t>
        </is>
      </c>
      <c r="D4" s="586" t="inlineStr">
        <is>
          <t>23,151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style="584" min="1" max="1"/>
    <col width="25" customWidth="1" style="584" min="2" max="2"/>
    <col width="15" customWidth="1" style="584" min="3" max="3"/>
    <col width="14" customWidth="1" style="584" min="4" max="4"/>
    <col width="14" customWidth="1" style="584" min="5" max="5"/>
    <col width="14" customWidth="1" style="584" min="6" max="6"/>
    <col width="14" customWidth="1" style="584" min="7" max="7"/>
    <col width="12" customWidth="1" style="584" min="8" max="8"/>
    <col width="12" customWidth="1" style="584" min="9" max="9"/>
  </cols>
  <sheetData>
    <row r="1">
      <c r="A1" s="585" t="inlineStr">
        <is>
          <t>Variable</t>
        </is>
      </c>
      <c r="B1" s="585" t="inlineStr">
        <is>
          <t>Level</t>
        </is>
      </c>
      <c r="C1" s="585" t="inlineStr">
        <is>
          <t>All</t>
        </is>
      </c>
      <c r="D1" s="585" t="inlineStr">
        <is>
          <t>&lt;60 bpm</t>
        </is>
      </c>
      <c r="E1" s="585" t="inlineStr">
        <is>
          <t>60-69 bpm</t>
        </is>
      </c>
      <c r="F1" s="585" t="inlineStr">
        <is>
          <t>70-79 bpm</t>
        </is>
      </c>
      <c r="G1" s="585" t="inlineStr">
        <is>
          <t>80-89 bpm</t>
        </is>
      </c>
      <c r="H1" s="585" t="inlineStr">
        <is>
          <t>&gt;=90 bpm</t>
        </is>
      </c>
      <c r="I1" s="585" t="inlineStr">
        <is>
          <t>p-value</t>
        </is>
      </c>
    </row>
    <row r="2">
      <c r="A2" s="586" t="inlineStr">
        <is>
          <t>N</t>
        </is>
      </c>
      <c r="B2" s="586" t="n">
        <v/>
      </c>
      <c r="C2" s="586" t="inlineStr">
        <is>
          <t>23,418</t>
        </is>
      </c>
      <c r="D2" s="586" t="inlineStr">
        <is>
          <t>1,402</t>
        </is>
      </c>
      <c r="E2" s="586" t="inlineStr">
        <is>
          <t>10,581</t>
        </is>
      </c>
      <c r="F2" s="586" t="inlineStr">
        <is>
          <t>7,043</t>
        </is>
      </c>
      <c r="G2" s="586" t="inlineStr">
        <is>
          <t>3,588</t>
        </is>
      </c>
      <c r="H2" s="586" t="inlineStr">
        <is>
          <t>804</t>
        </is>
      </c>
      <c r="I2" s="586" t="n">
        <v/>
      </c>
    </row>
    <row r="3">
      <c r="A3" s="586" t="inlineStr">
        <is>
          <t>Age</t>
        </is>
      </c>
      <c r="B3" s="586" t="inlineStr">
        <is>
          <t>M ± SD</t>
        </is>
      </c>
      <c r="C3" s="586" t="inlineStr">
        <is>
          <t>46.7±15.8</t>
        </is>
      </c>
      <c r="D3" s="586" t="inlineStr">
        <is>
          <t>53.1±15.6</t>
        </is>
      </c>
      <c r="E3" s="586" t="inlineStr">
        <is>
          <t>48.2±15.3</t>
        </is>
      </c>
      <c r="F3" s="586" t="inlineStr">
        <is>
          <t>45.5±15.7</t>
        </is>
      </c>
      <c r="G3" s="586" t="inlineStr">
        <is>
          <t>43.0±16.0</t>
        </is>
      </c>
      <c r="H3" s="586" t="inlineStr">
        <is>
          <t>42.8±17.4</t>
        </is>
      </c>
      <c r="I3" s="586" t="inlineStr">
        <is>
          <t>&lt;.001</t>
        </is>
      </c>
    </row>
    <row r="4">
      <c r="A4" s="586" t="inlineStr">
        <is>
          <t>Age group, n (%)</t>
        </is>
      </c>
      <c r="B4" s="586" t="n">
        <v/>
      </c>
      <c r="C4" s="586" t="n">
        <v/>
      </c>
      <c r="D4" s="586" t="n">
        <v/>
      </c>
      <c r="E4" s="586" t="n">
        <v/>
      </c>
      <c r="F4" s="586" t="n">
        <v/>
      </c>
      <c r="G4" s="586" t="n">
        <v/>
      </c>
      <c r="H4" s="586" t="n">
        <v/>
      </c>
      <c r="I4" s="586" t="inlineStr">
        <is>
          <t>&lt;.001</t>
        </is>
      </c>
    </row>
    <row r="5">
      <c r="A5" s="586" t="n">
        <v/>
      </c>
      <c r="B5" s="586" t="inlineStr">
        <is>
          <t>&lt;40 year</t>
        </is>
      </c>
      <c r="C5" s="586" t="inlineStr">
        <is>
          <t>8,482 (36.2)</t>
        </is>
      </c>
      <c r="D5" s="586" t="inlineStr">
        <is>
          <t>311 (22.2)</t>
        </is>
      </c>
      <c r="E5" s="586" t="inlineStr">
        <is>
          <t>3,296 (31.2)</t>
        </is>
      </c>
      <c r="F5" s="586" t="inlineStr">
        <is>
          <t>2,747 (39.0)</t>
        </is>
      </c>
      <c r="G5" s="586" t="inlineStr">
        <is>
          <t>1,724 (48.0)</t>
        </is>
      </c>
      <c r="H5" s="586" t="inlineStr">
        <is>
          <t>404 (50.2)</t>
        </is>
      </c>
      <c r="I5" s="586" t="n">
        <v/>
      </c>
    </row>
    <row r="6">
      <c r="A6" s="586" t="n">
        <v/>
      </c>
      <c r="B6" s="586" t="inlineStr">
        <is>
          <t>40-59 year</t>
        </is>
      </c>
      <c r="C6" s="586" t="inlineStr">
        <is>
          <t>9,406 (40.2)</t>
        </is>
      </c>
      <c r="D6" s="586" t="inlineStr">
        <is>
          <t>547 (39.0)</t>
        </is>
      </c>
      <c r="E6" s="586" t="inlineStr">
        <is>
          <t>4,613 (43.6)</t>
        </is>
      </c>
      <c r="F6" s="586" t="inlineStr">
        <is>
          <t>2,804 (39.8)</t>
        </is>
      </c>
      <c r="G6" s="586" t="inlineStr">
        <is>
          <t>1,204 (33.6)</t>
        </is>
      </c>
      <c r="H6" s="586" t="inlineStr">
        <is>
          <t>238 (29.6)</t>
        </is>
      </c>
      <c r="I6" s="586" t="n">
        <v/>
      </c>
    </row>
    <row r="7">
      <c r="A7" s="586" t="n">
        <v/>
      </c>
      <c r="B7" s="586" t="inlineStr">
        <is>
          <t>&gt;=60 year</t>
        </is>
      </c>
      <c r="C7" s="586" t="inlineStr">
        <is>
          <t>5,530 (23.6)</t>
        </is>
      </c>
      <c r="D7" s="586" t="inlineStr">
        <is>
          <t>544 (38.8)</t>
        </is>
      </c>
      <c r="E7" s="586" t="inlineStr">
        <is>
          <t>2,672 (25.3)</t>
        </is>
      </c>
      <c r="F7" s="586" t="inlineStr">
        <is>
          <t>1,492 (21.2)</t>
        </is>
      </c>
      <c r="G7" s="586" t="inlineStr">
        <is>
          <t>660 (18.4)</t>
        </is>
      </c>
      <c r="H7" s="586" t="inlineStr">
        <is>
          <t>162 (20.1)</t>
        </is>
      </c>
      <c r="I7" s="586" t="n">
        <v/>
      </c>
    </row>
    <row r="8">
      <c r="A8" s="586" t="inlineStr">
        <is>
          <t>Sex, n (%)</t>
        </is>
      </c>
      <c r="B8" s="586" t="n">
        <v/>
      </c>
      <c r="C8" s="586" t="n">
        <v/>
      </c>
      <c r="D8" s="586" t="n">
        <v/>
      </c>
      <c r="E8" s="586" t="n">
        <v/>
      </c>
      <c r="F8" s="586" t="n">
        <v/>
      </c>
      <c r="G8" s="586" t="n">
        <v/>
      </c>
      <c r="H8" s="586" t="n">
        <v/>
      </c>
      <c r="I8" s="586" t="inlineStr">
        <is>
          <t>&lt;.001</t>
        </is>
      </c>
    </row>
    <row r="9">
      <c r="A9" s="586" t="n">
        <v/>
      </c>
      <c r="B9" s="586" t="inlineStr">
        <is>
          <t>Male</t>
        </is>
      </c>
      <c r="C9" s="586" t="inlineStr">
        <is>
          <t>9,799 (41.8)</t>
        </is>
      </c>
      <c r="D9" s="586" t="inlineStr">
        <is>
          <t>810 (57.8)</t>
        </is>
      </c>
      <c r="E9" s="586" t="inlineStr">
        <is>
          <t>4,538 (42.9)</t>
        </is>
      </c>
      <c r="F9" s="586" t="inlineStr">
        <is>
          <t>2,758 (39.2)</t>
        </is>
      </c>
      <c r="G9" s="586" t="inlineStr">
        <is>
          <t>1,368 (38.1)</t>
        </is>
      </c>
      <c r="H9" s="586" t="inlineStr">
        <is>
          <t>325 (40.4)</t>
        </is>
      </c>
      <c r="I9" s="586" t="n">
        <v/>
      </c>
    </row>
    <row r="10">
      <c r="A10" s="586" t="n">
        <v/>
      </c>
      <c r="B10" s="586" t="inlineStr">
        <is>
          <t>Female</t>
        </is>
      </c>
      <c r="C10" s="586" t="inlineStr">
        <is>
          <t>13,619 (58.2)</t>
        </is>
      </c>
      <c r="D10" s="586" t="inlineStr">
        <is>
          <t>592 (42.2)</t>
        </is>
      </c>
      <c r="E10" s="586" t="inlineStr">
        <is>
          <t>6,043 (57.1)</t>
        </is>
      </c>
      <c r="F10" s="586" t="inlineStr">
        <is>
          <t>4,285 (60.8)</t>
        </is>
      </c>
      <c r="G10" s="586" t="inlineStr">
        <is>
          <t>2,220 (61.9)</t>
        </is>
      </c>
      <c r="H10" s="586" t="inlineStr">
        <is>
          <t>479 (59.6)</t>
        </is>
      </c>
      <c r="I10" s="586" t="n">
        <v/>
      </c>
    </row>
    <row r="11">
      <c r="A11" s="586" t="inlineStr">
        <is>
          <t>BMI, kg/m2</t>
        </is>
      </c>
      <c r="B11" s="586" t="inlineStr">
        <is>
          <t>M ± SD</t>
        </is>
      </c>
      <c r="C11" s="586" t="inlineStr">
        <is>
          <t>23.6±3.6</t>
        </is>
      </c>
      <c r="D11" s="586" t="inlineStr">
        <is>
          <t>23.7±3.2</t>
        </is>
      </c>
      <c r="E11" s="586" t="inlineStr">
        <is>
          <t>23.6±3.3</t>
        </is>
      </c>
      <c r="F11" s="586" t="inlineStr">
        <is>
          <t>23.6±3.8</t>
        </is>
      </c>
      <c r="G11" s="586" t="inlineStr">
        <is>
          <t>23.6±4.0</t>
        </is>
      </c>
      <c r="H11" s="586" t="inlineStr">
        <is>
          <t>23.6±4.9</t>
        </is>
      </c>
      <c r="I11" s="586" t="inlineStr">
        <is>
          <t>&lt;.001</t>
        </is>
      </c>
    </row>
    <row r="12">
      <c r="A12" s="586" t="inlineStr">
        <is>
          <t>BMI, kg/m2, n (%)</t>
        </is>
      </c>
      <c r="B12" s="586" t="n">
        <v/>
      </c>
      <c r="C12" s="586" t="n">
        <v/>
      </c>
      <c r="D12" s="586" t="n">
        <v/>
      </c>
      <c r="E12" s="586" t="n">
        <v/>
      </c>
      <c r="F12" s="586" t="n">
        <v/>
      </c>
      <c r="G12" s="586" t="n">
        <v/>
      </c>
      <c r="H12" s="586" t="n">
        <v/>
      </c>
      <c r="I12" s="586" t="inlineStr">
        <is>
          <t>&lt;.001</t>
        </is>
      </c>
    </row>
    <row r="13">
      <c r="A13" s="586" t="n">
        <v/>
      </c>
      <c r="B13" s="586" t="inlineStr">
        <is>
          <t>&lt;23 kg/m2</t>
        </is>
      </c>
      <c r="C13" s="586" t="inlineStr">
        <is>
          <t>11,074 (47.3)</t>
        </is>
      </c>
      <c r="D13" s="586" t="inlineStr">
        <is>
          <t>602 (42.9)</t>
        </is>
      </c>
      <c r="E13" s="586" t="inlineStr">
        <is>
          <t>4,915 (46.5)</t>
        </is>
      </c>
      <c r="F13" s="586" t="inlineStr">
        <is>
          <t>3,353 (47.6)</t>
        </is>
      </c>
      <c r="G13" s="586" t="inlineStr">
        <is>
          <t>1,779 (49.6)</t>
        </is>
      </c>
      <c r="H13" s="586" t="inlineStr">
        <is>
          <t>425 (52.9)</t>
        </is>
      </c>
      <c r="I13" s="586" t="n">
        <v/>
      </c>
    </row>
    <row r="14">
      <c r="A14" s="586" t="n">
        <v/>
      </c>
      <c r="B14" s="586" t="inlineStr">
        <is>
          <t>23-24.9 kg/m2</t>
        </is>
      </c>
      <c r="C14" s="586" t="inlineStr">
        <is>
          <t>5,178 (22.1)</t>
        </is>
      </c>
      <c r="D14" s="586" t="inlineStr">
        <is>
          <t>351 (25.0)</t>
        </is>
      </c>
      <c r="E14" s="586" t="inlineStr">
        <is>
          <t>2,509 (23.7)</t>
        </is>
      </c>
      <c r="F14" s="586" t="inlineStr">
        <is>
          <t>1,474 (20.9)</t>
        </is>
      </c>
      <c r="G14" s="586" t="inlineStr">
        <is>
          <t>704 (19.6)</t>
        </is>
      </c>
      <c r="H14" s="586" t="inlineStr">
        <is>
          <t>140 (17.4)</t>
        </is>
      </c>
      <c r="I14" s="586" t="n">
        <v/>
      </c>
    </row>
    <row r="15">
      <c r="A15" s="586" t="n">
        <v/>
      </c>
      <c r="B15" s="586" t="inlineStr">
        <is>
          <t>&gt;=25 kg/m2</t>
        </is>
      </c>
      <c r="C15" s="586" t="inlineStr">
        <is>
          <t>7,081 (30.2)</t>
        </is>
      </c>
      <c r="D15" s="586" t="inlineStr">
        <is>
          <t>443 (31.6)</t>
        </is>
      </c>
      <c r="E15" s="586" t="inlineStr">
        <is>
          <t>3,124 (29.5)</t>
        </is>
      </c>
      <c r="F15" s="586" t="inlineStr">
        <is>
          <t>2,190 (31.1)</t>
        </is>
      </c>
      <c r="G15" s="586" t="inlineStr">
        <is>
          <t>1,091 (30.4)</t>
        </is>
      </c>
      <c r="H15" s="586" t="inlineStr">
        <is>
          <t>233 (29.0)</t>
        </is>
      </c>
      <c r="I15" s="586" t="n">
        <v/>
      </c>
    </row>
    <row r="16">
      <c r="A16" s="586" t="n">
        <v/>
      </c>
      <c r="B16" s="586" t="inlineStr">
        <is>
          <t>Missing</t>
        </is>
      </c>
      <c r="C16" s="586" t="inlineStr">
        <is>
          <t>85 (0.4)</t>
        </is>
      </c>
      <c r="D16" s="586" t="inlineStr">
        <is>
          <t>6 (0.4)</t>
        </is>
      </c>
      <c r="E16" s="586" t="inlineStr">
        <is>
          <t>33 (0.3)</t>
        </is>
      </c>
      <c r="F16" s="586" t="inlineStr">
        <is>
          <t>26 (0.4)</t>
        </is>
      </c>
      <c r="G16" s="586" t="inlineStr">
        <is>
          <t>14 (0.4)</t>
        </is>
      </c>
      <c r="H16" s="586" t="inlineStr">
        <is>
          <t>6 (0.7)</t>
        </is>
      </c>
      <c r="I16" s="586" t="n">
        <v/>
      </c>
    </row>
    <row r="17">
      <c r="A17" s="586" t="inlineStr">
        <is>
          <t>Smoking, n (%)</t>
        </is>
      </c>
      <c r="B17" s="586" t="n">
        <v/>
      </c>
      <c r="C17" s="586" t="n">
        <v/>
      </c>
      <c r="D17" s="586" t="n">
        <v/>
      </c>
      <c r="E17" s="586" t="n">
        <v/>
      </c>
      <c r="F17" s="586" t="n">
        <v/>
      </c>
      <c r="G17" s="586" t="n">
        <v/>
      </c>
      <c r="H17" s="586" t="n">
        <v/>
      </c>
      <c r="I17" s="586" t="inlineStr">
        <is>
          <t>&lt;.001</t>
        </is>
      </c>
    </row>
    <row r="18">
      <c r="A18" s="586" t="n">
        <v/>
      </c>
      <c r="B18" s="586" t="inlineStr">
        <is>
          <t>Never</t>
        </is>
      </c>
      <c r="C18" s="586" t="inlineStr">
        <is>
          <t>14,506 (61.9)</t>
        </is>
      </c>
      <c r="D18" s="586" t="inlineStr">
        <is>
          <t>757 (54.0)</t>
        </is>
      </c>
      <c r="E18" s="586" t="inlineStr">
        <is>
          <t>6,502 (61.4)</t>
        </is>
      </c>
      <c r="F18" s="586" t="inlineStr">
        <is>
          <t>4,499 (63.9)</t>
        </is>
      </c>
      <c r="G18" s="586" t="inlineStr">
        <is>
          <t>2,256 (62.9)</t>
        </is>
      </c>
      <c r="H18" s="586" t="inlineStr">
        <is>
          <t>492 (61.2)</t>
        </is>
      </c>
      <c r="I18" s="586" t="n">
        <v/>
      </c>
    </row>
    <row r="19">
      <c r="A19" s="586" t="n">
        <v/>
      </c>
      <c r="B19" s="586" t="inlineStr">
        <is>
          <t>Previous</t>
        </is>
      </c>
      <c r="C19" s="586" t="inlineStr">
        <is>
          <t>4,666 (19.9)</t>
        </is>
      </c>
      <c r="D19" s="586" t="inlineStr">
        <is>
          <t>399 (28.5)</t>
        </is>
      </c>
      <c r="E19" s="586" t="inlineStr">
        <is>
          <t>2,282 (21.6)</t>
        </is>
      </c>
      <c r="F19" s="586" t="inlineStr">
        <is>
          <t>1,278 (18.1)</t>
        </is>
      </c>
      <c r="G19" s="586" t="inlineStr">
        <is>
          <t>579 (16.1)</t>
        </is>
      </c>
      <c r="H19" s="586" t="inlineStr">
        <is>
          <t>128 (15.9)</t>
        </is>
      </c>
      <c r="I19" s="586" t="n">
        <v/>
      </c>
    </row>
    <row r="20">
      <c r="A20" s="586" t="n">
        <v/>
      </c>
      <c r="B20" s="586" t="inlineStr">
        <is>
          <t>Current</t>
        </is>
      </c>
      <c r="C20" s="586" t="inlineStr">
        <is>
          <t>4,162 (17.8)</t>
        </is>
      </c>
      <c r="D20" s="586" t="inlineStr">
        <is>
          <t>240 (17.1)</t>
        </is>
      </c>
      <c r="E20" s="586" t="inlineStr">
        <is>
          <t>1,764 (16.7)</t>
        </is>
      </c>
      <c r="F20" s="586" t="inlineStr">
        <is>
          <t>1,243 (17.6)</t>
        </is>
      </c>
      <c r="G20" s="586" t="inlineStr">
        <is>
          <t>735 (20.5)</t>
        </is>
      </c>
      <c r="H20" s="586" t="inlineStr">
        <is>
          <t>180 (22.4)</t>
        </is>
      </c>
      <c r="I20" s="586" t="n">
        <v/>
      </c>
    </row>
    <row r="21">
      <c r="A21" s="586" t="n">
        <v/>
      </c>
      <c r="B21" s="586" t="inlineStr">
        <is>
          <t>Missing</t>
        </is>
      </c>
      <c r="C21" s="586" t="inlineStr">
        <is>
          <t>84 (0.4)</t>
        </is>
      </c>
      <c r="D21" s="586" t="inlineStr">
        <is>
          <t>6 (0.4)</t>
        </is>
      </c>
      <c r="E21" s="586" t="inlineStr">
        <is>
          <t>33 (0.3)</t>
        </is>
      </c>
      <c r="F21" s="586" t="inlineStr">
        <is>
          <t>23 (0.3)</t>
        </is>
      </c>
      <c r="G21" s="586" t="inlineStr">
        <is>
          <t>18 (0.5)</t>
        </is>
      </c>
      <c r="H21" s="586" t="inlineStr">
        <is>
          <t>4 (0.5)</t>
        </is>
      </c>
      <c r="I21" s="586" t="n">
        <v/>
      </c>
    </row>
    <row r="22">
      <c r="A22" s="586" t="inlineStr">
        <is>
          <t>Alcohol, n (%)</t>
        </is>
      </c>
      <c r="B22" s="586" t="n">
        <v/>
      </c>
      <c r="C22" s="586" t="n">
        <v/>
      </c>
      <c r="D22" s="586" t="n">
        <v/>
      </c>
      <c r="E22" s="586" t="n">
        <v/>
      </c>
      <c r="F22" s="586" t="n">
        <v/>
      </c>
      <c r="G22" s="586" t="n">
        <v/>
      </c>
      <c r="H22" s="586" t="n">
        <v/>
      </c>
      <c r="I22" s="586" t="inlineStr">
        <is>
          <t>.031</t>
        </is>
      </c>
    </row>
    <row r="23">
      <c r="A23" s="586" t="n">
        <v/>
      </c>
      <c r="B23" s="586" t="inlineStr">
        <is>
          <t>Never</t>
        </is>
      </c>
      <c r="C23" s="586" t="inlineStr">
        <is>
          <t>1,954 (8.3)</t>
        </is>
      </c>
      <c r="D23" s="586" t="inlineStr">
        <is>
          <t>117 (8.3)</t>
        </is>
      </c>
      <c r="E23" s="586" t="inlineStr">
        <is>
          <t>870 (8.2)</t>
        </is>
      </c>
      <c r="F23" s="586" t="inlineStr">
        <is>
          <t>585 (8.3)</t>
        </is>
      </c>
      <c r="G23" s="586" t="inlineStr">
        <is>
          <t>298 (8.3)</t>
        </is>
      </c>
      <c r="H23" s="586" t="inlineStr">
        <is>
          <t>84 (10.4)</t>
        </is>
      </c>
      <c r="I23" s="586" t="n">
        <v/>
      </c>
    </row>
    <row r="24">
      <c r="A24" s="586" t="n">
        <v/>
      </c>
      <c r="B24" s="586" t="inlineStr">
        <is>
          <t>Previous</t>
        </is>
      </c>
      <c r="C24" s="586" t="inlineStr">
        <is>
          <t>3,700 (15.8)</t>
        </is>
      </c>
      <c r="D24" s="586" t="inlineStr">
        <is>
          <t>250 (17.8)</t>
        </is>
      </c>
      <c r="E24" s="586" t="inlineStr">
        <is>
          <t>1,637 (15.5)</t>
        </is>
      </c>
      <c r="F24" s="586" t="inlineStr">
        <is>
          <t>1,111 (15.8)</t>
        </is>
      </c>
      <c r="G24" s="586" t="inlineStr">
        <is>
          <t>553 (15.4)</t>
        </is>
      </c>
      <c r="H24" s="586" t="inlineStr">
        <is>
          <t>149 (18.5)</t>
        </is>
      </c>
      <c r="I24" s="586" t="n">
        <v/>
      </c>
    </row>
    <row r="25">
      <c r="A25" s="586" t="n">
        <v/>
      </c>
      <c r="B25" s="586" t="inlineStr">
        <is>
          <t>Current</t>
        </is>
      </c>
      <c r="C25" s="586" t="inlineStr">
        <is>
          <t>17,685 (75.5)</t>
        </is>
      </c>
      <c r="D25" s="586" t="inlineStr">
        <is>
          <t>1,029 (73.4)</t>
        </is>
      </c>
      <c r="E25" s="586" t="inlineStr">
        <is>
          <t>8,045 (76.0)</t>
        </is>
      </c>
      <c r="F25" s="586" t="inlineStr">
        <is>
          <t>5,325 (75.6)</t>
        </is>
      </c>
      <c r="G25" s="586" t="inlineStr">
        <is>
          <t>2,719 (75.8)</t>
        </is>
      </c>
      <c r="H25" s="586" t="inlineStr">
        <is>
          <t>567 (70.5)</t>
        </is>
      </c>
      <c r="I25" s="586" t="n">
        <v/>
      </c>
    </row>
    <row r="26">
      <c r="A26" s="586" t="n">
        <v/>
      </c>
      <c r="B26" s="586" t="inlineStr">
        <is>
          <t>Missing</t>
        </is>
      </c>
      <c r="C26" s="586" t="inlineStr">
        <is>
          <t>79 (0.3)</t>
        </is>
      </c>
      <c r="D26" s="586" t="inlineStr">
        <is>
          <t>6 (0.4)</t>
        </is>
      </c>
      <c r="E26" s="586" t="inlineStr">
        <is>
          <t>29 (0.3)</t>
        </is>
      </c>
      <c r="F26" s="586" t="inlineStr">
        <is>
          <t>22 (0.3)</t>
        </is>
      </c>
      <c r="G26" s="586" t="inlineStr">
        <is>
          <t>18 (0.5)</t>
        </is>
      </c>
      <c r="H26" s="586" t="inlineStr">
        <is>
          <t>4 (0.5)</t>
        </is>
      </c>
      <c r="I26" s="586" t="n">
        <v/>
      </c>
    </row>
    <row r="27">
      <c r="A27" s="586" t="inlineStr">
        <is>
          <t>Education, n (%)</t>
        </is>
      </c>
      <c r="B27" s="586" t="n">
        <v/>
      </c>
      <c r="C27" s="586" t="n">
        <v/>
      </c>
      <c r="D27" s="586" t="n">
        <v/>
      </c>
      <c r="E27" s="586" t="n">
        <v/>
      </c>
      <c r="F27" s="586" t="n">
        <v/>
      </c>
      <c r="G27" s="586" t="n">
        <v/>
      </c>
      <c r="H27" s="586" t="n">
        <v/>
      </c>
      <c r="I27" s="586" t="inlineStr">
        <is>
          <t>&lt;.001</t>
        </is>
      </c>
    </row>
    <row r="28">
      <c r="A28" s="586" t="n">
        <v/>
      </c>
      <c r="B28" s="586" t="inlineStr">
        <is>
          <t>Primary school or below</t>
        </is>
      </c>
      <c r="C28" s="586" t="inlineStr">
        <is>
          <t>2,691 (11.5)</t>
        </is>
      </c>
      <c r="D28" s="586" t="inlineStr">
        <is>
          <t>225 (16.0)</t>
        </is>
      </c>
      <c r="E28" s="586" t="inlineStr">
        <is>
          <t>1,272 (12.0)</t>
        </is>
      </c>
      <c r="F28" s="586" t="inlineStr">
        <is>
          <t>736 (10.5)</t>
        </is>
      </c>
      <c r="G28" s="586" t="inlineStr">
        <is>
          <t>359 (10.0)</t>
        </is>
      </c>
      <c r="H28" s="586" t="inlineStr">
        <is>
          <t>99 (12.3)</t>
        </is>
      </c>
      <c r="I28" s="586" t="n">
        <v/>
      </c>
    </row>
    <row r="29">
      <c r="A29" s="586" t="n">
        <v/>
      </c>
      <c r="B29" s="586" t="inlineStr">
        <is>
          <t>Middle school</t>
        </is>
      </c>
      <c r="C29" s="586" t="inlineStr">
        <is>
          <t>1,835 (7.8)</t>
        </is>
      </c>
      <c r="D29" s="586" t="inlineStr">
        <is>
          <t>140 (10.0)</t>
        </is>
      </c>
      <c r="E29" s="586" t="inlineStr">
        <is>
          <t>915 (8.6)</t>
        </is>
      </c>
      <c r="F29" s="586" t="inlineStr">
        <is>
          <t>504 (7.2)</t>
        </is>
      </c>
      <c r="G29" s="586" t="inlineStr">
        <is>
          <t>222 (6.2)</t>
        </is>
      </c>
      <c r="H29" s="586" t="inlineStr">
        <is>
          <t>54 (6.7)</t>
        </is>
      </c>
      <c r="I29" s="586" t="n">
        <v/>
      </c>
    </row>
    <row r="30">
      <c r="A30" s="586" t="n">
        <v/>
      </c>
      <c r="B30" s="586" t="inlineStr">
        <is>
          <t>High school</t>
        </is>
      </c>
      <c r="C30" s="586" t="inlineStr">
        <is>
          <t>8,392 (35.8)</t>
        </is>
      </c>
      <c r="D30" s="586" t="inlineStr">
        <is>
          <t>463 (33.0)</t>
        </is>
      </c>
      <c r="E30" s="586" t="inlineStr">
        <is>
          <t>3,729 (35.2)</t>
        </is>
      </c>
      <c r="F30" s="586" t="inlineStr">
        <is>
          <t>2,545 (36.1)</t>
        </is>
      </c>
      <c r="G30" s="586" t="inlineStr">
        <is>
          <t>1,335 (37.2)</t>
        </is>
      </c>
      <c r="H30" s="586" t="inlineStr">
        <is>
          <t>320 (39.8)</t>
        </is>
      </c>
      <c r="I30" s="586" t="n">
        <v/>
      </c>
    </row>
    <row r="31">
      <c r="A31" s="586" t="n">
        <v/>
      </c>
      <c r="B31" s="586" t="inlineStr">
        <is>
          <t>College or above</t>
        </is>
      </c>
      <c r="C31" s="586" t="inlineStr">
        <is>
          <t>10,460 (44.7)</t>
        </is>
      </c>
      <c r="D31" s="586" t="inlineStr">
        <is>
          <t>572 (40.8)</t>
        </is>
      </c>
      <c r="E31" s="586" t="inlineStr">
        <is>
          <t>4,651 (44.0)</t>
        </is>
      </c>
      <c r="F31" s="586" t="inlineStr">
        <is>
          <t>3,245 (46.1)</t>
        </is>
      </c>
      <c r="G31" s="586" t="inlineStr">
        <is>
          <t>1,663 (46.3)</t>
        </is>
      </c>
      <c r="H31" s="586" t="inlineStr">
        <is>
          <t>329 (40.9)</t>
        </is>
      </c>
      <c r="I31" s="586" t="n">
        <v/>
      </c>
    </row>
    <row r="32">
      <c r="A32" s="586" t="n">
        <v/>
      </c>
      <c r="B32" s="586" t="inlineStr">
        <is>
          <t>Missing</t>
        </is>
      </c>
      <c r="C32" s="586" t="inlineStr">
        <is>
          <t>40 (0.2)</t>
        </is>
      </c>
      <c r="D32" s="586" t="inlineStr">
        <is>
          <t>2 (0.1)</t>
        </is>
      </c>
      <c r="E32" s="586" t="inlineStr">
        <is>
          <t>14 (0.1)</t>
        </is>
      </c>
      <c r="F32" s="586" t="inlineStr">
        <is>
          <t>13 (0.2)</t>
        </is>
      </c>
      <c r="G32" s="586" t="inlineStr">
        <is>
          <t>9 (0.3)</t>
        </is>
      </c>
      <c r="H32" s="586" t="inlineStr">
        <is>
          <t>2 (0.2)</t>
        </is>
      </c>
      <c r="I32" s="586" t="n">
        <v/>
      </c>
    </row>
    <row r="33">
      <c r="A33" s="586" t="inlineStr">
        <is>
          <t>Income, n (%)</t>
        </is>
      </c>
      <c r="B33" s="586" t="n">
        <v/>
      </c>
      <c r="C33" s="586" t="n">
        <v/>
      </c>
      <c r="D33" s="586" t="n">
        <v/>
      </c>
      <c r="E33" s="586" t="n">
        <v/>
      </c>
      <c r="F33" s="586" t="n">
        <v/>
      </c>
      <c r="G33" s="586" t="n">
        <v/>
      </c>
      <c r="H33" s="586" t="n">
        <v/>
      </c>
      <c r="I33" s="586" t="inlineStr">
        <is>
          <t>&lt;.001</t>
        </is>
      </c>
    </row>
    <row r="34">
      <c r="A34" s="586" t="n">
        <v/>
      </c>
      <c r="B34" s="586" t="inlineStr">
        <is>
          <t>Low</t>
        </is>
      </c>
      <c r="C34" s="586" t="inlineStr">
        <is>
          <t>3,061 (13.1)</t>
        </is>
      </c>
      <c r="D34" s="586" t="inlineStr">
        <is>
          <t>182 (13.0)</t>
        </is>
      </c>
      <c r="E34" s="586" t="inlineStr">
        <is>
          <t>1,212 (11.5)</t>
        </is>
      </c>
      <c r="F34" s="586" t="inlineStr">
        <is>
          <t>921 (13.1)</t>
        </is>
      </c>
      <c r="G34" s="586" t="inlineStr">
        <is>
          <t>554 (15.4)</t>
        </is>
      </c>
      <c r="H34" s="586" t="inlineStr">
        <is>
          <t>192 (23.9)</t>
        </is>
      </c>
      <c r="I34" s="586" t="n">
        <v/>
      </c>
    </row>
    <row r="35">
      <c r="A35" s="586" t="n">
        <v/>
      </c>
      <c r="B35" s="586" t="inlineStr">
        <is>
          <t>Middle-low</t>
        </is>
      </c>
      <c r="C35" s="586" t="inlineStr">
        <is>
          <t>5,474 (23.4)</t>
        </is>
      </c>
      <c r="D35" s="586" t="inlineStr">
        <is>
          <t>347 (24.8)</t>
        </is>
      </c>
      <c r="E35" s="586" t="inlineStr">
        <is>
          <t>2,409 (22.8)</t>
        </is>
      </c>
      <c r="F35" s="586" t="inlineStr">
        <is>
          <t>1,680 (23.9)</t>
        </is>
      </c>
      <c r="G35" s="586" t="inlineStr">
        <is>
          <t>852 (23.7)</t>
        </is>
      </c>
      <c r="H35" s="586" t="inlineStr">
        <is>
          <t>186 (23.1)</t>
        </is>
      </c>
      <c r="I35" s="586" t="n">
        <v/>
      </c>
    </row>
    <row r="36">
      <c r="A36" s="586" t="n">
        <v/>
      </c>
      <c r="B36" s="586" t="inlineStr">
        <is>
          <t>Middle-high</t>
        </is>
      </c>
      <c r="C36" s="586" t="inlineStr">
        <is>
          <t>7,116 (30.4)</t>
        </is>
      </c>
      <c r="D36" s="586" t="inlineStr">
        <is>
          <t>370 (26.4)</t>
        </is>
      </c>
      <c r="E36" s="586" t="inlineStr">
        <is>
          <t>3,235 (30.6)</t>
        </is>
      </c>
      <c r="F36" s="586" t="inlineStr">
        <is>
          <t>2,142 (30.4)</t>
        </is>
      </c>
      <c r="G36" s="586" t="inlineStr">
        <is>
          <t>1,132 (31.5)</t>
        </is>
      </c>
      <c r="H36" s="586" t="inlineStr">
        <is>
          <t>237 (29.5)</t>
        </is>
      </c>
      <c r="I36" s="586" t="n">
        <v/>
      </c>
    </row>
    <row r="37">
      <c r="A37" s="586" t="n">
        <v/>
      </c>
      <c r="B37" s="586" t="inlineStr">
        <is>
          <t>High</t>
        </is>
      </c>
      <c r="C37" s="586" t="inlineStr">
        <is>
          <t>7,710 (32.9)</t>
        </is>
      </c>
      <c r="D37" s="586" t="inlineStr">
        <is>
          <t>502 (35.8)</t>
        </is>
      </c>
      <c r="E37" s="586" t="inlineStr">
        <is>
          <t>3,709 (35.1)</t>
        </is>
      </c>
      <c r="F37" s="586" t="inlineStr">
        <is>
          <t>2,277 (32.3)</t>
        </is>
      </c>
      <c r="G37" s="586" t="inlineStr">
        <is>
          <t>1,037 (28.9)</t>
        </is>
      </c>
      <c r="H37" s="586" t="inlineStr">
        <is>
          <t>185 (23.0)</t>
        </is>
      </c>
      <c r="I37" s="586" t="n">
        <v/>
      </c>
    </row>
    <row r="38">
      <c r="A38" s="586" t="n">
        <v/>
      </c>
      <c r="B38" s="586" t="inlineStr">
        <is>
          <t>Missing</t>
        </is>
      </c>
      <c r="C38" s="586" t="inlineStr">
        <is>
          <t>57 (0.2)</t>
        </is>
      </c>
      <c r="D38" s="586" t="inlineStr">
        <is>
          <t>1 (0.1)</t>
        </is>
      </c>
      <c r="E38" s="586" t="inlineStr">
        <is>
          <t>16 (0.2)</t>
        </is>
      </c>
      <c r="F38" s="586" t="inlineStr">
        <is>
          <t>23 (0.3)</t>
        </is>
      </c>
      <c r="G38" s="586" t="inlineStr">
        <is>
          <t>13 (0.4)</t>
        </is>
      </c>
      <c r="H38" s="586" t="inlineStr">
        <is>
          <t>4 (0.5)</t>
        </is>
      </c>
      <c r="I38" s="586" t="n">
        <v/>
      </c>
    </row>
    <row r="39">
      <c r="A39" s="586" t="inlineStr">
        <is>
          <t>Working status, n (%)</t>
        </is>
      </c>
      <c r="B39" s="586" t="n">
        <v/>
      </c>
      <c r="C39" s="586" t="n">
        <v/>
      </c>
      <c r="D39" s="586" t="n">
        <v/>
      </c>
      <c r="E39" s="586" t="n">
        <v/>
      </c>
      <c r="F39" s="586" t="n">
        <v/>
      </c>
      <c r="G39" s="586" t="n">
        <v/>
      </c>
      <c r="H39" s="586" t="n">
        <v/>
      </c>
      <c r="I39" s="586" t="inlineStr">
        <is>
          <t>&lt;.001</t>
        </is>
      </c>
    </row>
    <row r="40">
      <c r="A40" s="586" t="n">
        <v/>
      </c>
      <c r="B40" s="586" t="inlineStr">
        <is>
          <t>Yes</t>
        </is>
      </c>
      <c r="C40" s="586" t="inlineStr">
        <is>
          <t>15,281 (65.3)</t>
        </is>
      </c>
      <c r="D40" s="586" t="inlineStr">
        <is>
          <t>972 (69.3)</t>
        </is>
      </c>
      <c r="E40" s="586" t="inlineStr">
        <is>
          <t>7,181 (67.9)</t>
        </is>
      </c>
      <c r="F40" s="586" t="inlineStr">
        <is>
          <t>4,585 (65.1)</t>
        </is>
      </c>
      <c r="G40" s="586" t="inlineStr">
        <is>
          <t>2,134 (59.5)</t>
        </is>
      </c>
      <c r="H40" s="586" t="inlineStr">
        <is>
          <t>409 (50.9)</t>
        </is>
      </c>
      <c r="I40" s="586" t="n">
        <v/>
      </c>
    </row>
    <row r="41">
      <c r="A41" s="586" t="n">
        <v/>
      </c>
      <c r="B41" s="586" t="inlineStr">
        <is>
          <t>No</t>
        </is>
      </c>
      <c r="C41" s="586" t="inlineStr">
        <is>
          <t>8,135 (34.7)</t>
        </is>
      </c>
      <c r="D41" s="586" t="inlineStr">
        <is>
          <t>430 (30.7)</t>
        </is>
      </c>
      <c r="E41" s="586" t="inlineStr">
        <is>
          <t>3,399 (32.1)</t>
        </is>
      </c>
      <c r="F41" s="586" t="inlineStr">
        <is>
          <t>2,458 (34.9)</t>
        </is>
      </c>
      <c r="G41" s="586" t="inlineStr">
        <is>
          <t>1,453 (40.5)</t>
        </is>
      </c>
      <c r="H41" s="586" t="inlineStr">
        <is>
          <t>395 (49.1)</t>
        </is>
      </c>
      <c r="I41" s="586" t="n">
        <v/>
      </c>
    </row>
    <row r="42">
      <c r="A42" s="586" t="n">
        <v/>
      </c>
      <c r="B42" s="586" t="inlineStr">
        <is>
          <t>Missing</t>
        </is>
      </c>
      <c r="C42" s="586" t="inlineStr">
        <is>
          <t>2 (0.0)</t>
        </is>
      </c>
      <c r="D42" s="586" t="inlineStr">
        <is>
          <t>0 (0.0)</t>
        </is>
      </c>
      <c r="E42" s="586" t="inlineStr">
        <is>
          <t>1 (0.0)</t>
        </is>
      </c>
      <c r="F42" s="586" t="inlineStr">
        <is>
          <t>0 (0.0)</t>
        </is>
      </c>
      <c r="G42" s="586" t="inlineStr">
        <is>
          <t>1 (0.0)</t>
        </is>
      </c>
      <c r="H42" s="586" t="inlineStr">
        <is>
          <t>0 (0.0)</t>
        </is>
      </c>
      <c r="I42" s="586" t="n">
        <v/>
      </c>
    </row>
    <row r="43">
      <c r="A43" s="586" t="inlineStr">
        <is>
          <t>Marital status, n (%)</t>
        </is>
      </c>
      <c r="B43" s="586" t="n">
        <v/>
      </c>
      <c r="C43" s="586" t="n">
        <v/>
      </c>
      <c r="D43" s="586" t="n">
        <v/>
      </c>
      <c r="E43" s="586" t="n">
        <v/>
      </c>
      <c r="F43" s="586" t="n">
        <v/>
      </c>
      <c r="G43" s="586" t="n">
        <v/>
      </c>
      <c r="H43" s="586" t="n">
        <v/>
      </c>
      <c r="I43" s="586" t="inlineStr">
        <is>
          <t>&lt;.001</t>
        </is>
      </c>
    </row>
    <row r="44">
      <c r="A44" s="586" t="n">
        <v/>
      </c>
      <c r="B44" s="586" t="inlineStr">
        <is>
          <t>Yes</t>
        </is>
      </c>
      <c r="C44" s="586" t="inlineStr">
        <is>
          <t>17,912 (76.5)</t>
        </is>
      </c>
      <c r="D44" s="586" t="inlineStr">
        <is>
          <t>1,177 (84.0)</t>
        </is>
      </c>
      <c r="E44" s="586" t="inlineStr">
        <is>
          <t>8,453 (79.9)</t>
        </is>
      </c>
      <c r="F44" s="586" t="inlineStr">
        <is>
          <t>5,254 (74.6)</t>
        </is>
      </c>
      <c r="G44" s="586" t="inlineStr">
        <is>
          <t>2,512 (70.0)</t>
        </is>
      </c>
      <c r="H44" s="586" t="inlineStr">
        <is>
          <t>516 (64.2)</t>
        </is>
      </c>
      <c r="I44" s="586" t="n">
        <v/>
      </c>
    </row>
    <row r="45">
      <c r="A45" s="586" t="n">
        <v/>
      </c>
      <c r="B45" s="586" t="inlineStr">
        <is>
          <t>No</t>
        </is>
      </c>
      <c r="C45" s="586" t="inlineStr">
        <is>
          <t>5,506 (23.5)</t>
        </is>
      </c>
      <c r="D45" s="586" t="inlineStr">
        <is>
          <t>225 (16.0)</t>
        </is>
      </c>
      <c r="E45" s="586" t="inlineStr">
        <is>
          <t>2,128 (20.1)</t>
        </is>
      </c>
      <c r="F45" s="586" t="inlineStr">
        <is>
          <t>1,789 (25.4)</t>
        </is>
      </c>
      <c r="G45" s="586" t="inlineStr">
        <is>
          <t>1,076 (30.0)</t>
        </is>
      </c>
      <c r="H45" s="586" t="inlineStr">
        <is>
          <t>288 (35.8)</t>
        </is>
      </c>
      <c r="I45" s="586" t="n">
        <v/>
      </c>
    </row>
    <row r="46">
      <c r="A46" s="586" t="inlineStr">
        <is>
          <t>Total physical activity, n (%)</t>
        </is>
      </c>
      <c r="B46" s="586" t="n">
        <v/>
      </c>
      <c r="C46" s="586" t="n">
        <v/>
      </c>
      <c r="D46" s="586" t="n">
        <v/>
      </c>
      <c r="E46" s="586" t="n">
        <v/>
      </c>
      <c r="F46" s="586" t="n">
        <v/>
      </c>
      <c r="G46" s="586" t="n">
        <v/>
      </c>
      <c r="H46" s="586" t="n">
        <v/>
      </c>
      <c r="I46" s="586" t="inlineStr">
        <is>
          <t>&lt;.001</t>
        </is>
      </c>
    </row>
    <row r="47">
      <c r="A47" s="586" t="n">
        <v/>
      </c>
      <c r="B47" s="586" t="inlineStr">
        <is>
          <t>&lt;600 MET-min/week</t>
        </is>
      </c>
      <c r="C47" s="586" t="inlineStr">
        <is>
          <t>12,012 (51.3)</t>
        </is>
      </c>
      <c r="D47" s="586" t="inlineStr">
        <is>
          <t>666 (47.5)</t>
        </is>
      </c>
      <c r="E47" s="586" t="inlineStr">
        <is>
          <t>5,270 (49.8)</t>
        </is>
      </c>
      <c r="F47" s="586" t="inlineStr">
        <is>
          <t>3,692 (52.4)</t>
        </is>
      </c>
      <c r="G47" s="586" t="inlineStr">
        <is>
          <t>1,902 (53.0)</t>
        </is>
      </c>
      <c r="H47" s="586" t="inlineStr">
        <is>
          <t>482 (60.0)</t>
        </is>
      </c>
      <c r="I47" s="586" t="n">
        <v/>
      </c>
    </row>
    <row r="48">
      <c r="A48" s="586" t="n">
        <v/>
      </c>
      <c r="B48" s="586" t="inlineStr">
        <is>
          <t>&gt;=600 MET-min/week</t>
        </is>
      </c>
      <c r="C48" s="586" t="inlineStr">
        <is>
          <t>11,378 (48.6)</t>
        </is>
      </c>
      <c r="D48" s="586" t="inlineStr">
        <is>
          <t>732 (52.2)</t>
        </is>
      </c>
      <c r="E48" s="586" t="inlineStr">
        <is>
          <t>5,295 (50.0)</t>
        </is>
      </c>
      <c r="F48" s="586" t="inlineStr">
        <is>
          <t>3,348 (47.5)</t>
        </is>
      </c>
      <c r="G48" s="586" t="inlineStr">
        <is>
          <t>1,682 (46.9)</t>
        </is>
      </c>
      <c r="H48" s="586" t="inlineStr">
        <is>
          <t>321 (39.9)</t>
        </is>
      </c>
      <c r="I48" s="586" t="n">
        <v/>
      </c>
    </row>
    <row r="49">
      <c r="A49" s="586" t="n">
        <v/>
      </c>
      <c r="B49" s="586" t="inlineStr">
        <is>
          <t>Missing</t>
        </is>
      </c>
      <c r="C49" s="586" t="inlineStr">
        <is>
          <t>28 (0.1)</t>
        </is>
      </c>
      <c r="D49" s="586" t="inlineStr">
        <is>
          <t>4 (0.3)</t>
        </is>
      </c>
      <c r="E49" s="586" t="inlineStr">
        <is>
          <t>16 (0.2)</t>
        </is>
      </c>
      <c r="F49" s="586" t="inlineStr">
        <is>
          <t>3 (0.0)</t>
        </is>
      </c>
      <c r="G49" s="586" t="inlineStr">
        <is>
          <t>4 (0.1)</t>
        </is>
      </c>
      <c r="H49" s="586" t="inlineStr">
        <is>
          <t>1 (0.1)</t>
        </is>
      </c>
      <c r="I49" s="586" t="n">
        <v/>
      </c>
    </row>
    <row r="50">
      <c r="A50" s="586" t="inlineStr">
        <is>
          <t>Stress status, n (%)</t>
        </is>
      </c>
      <c r="B50" s="586" t="n">
        <v/>
      </c>
      <c r="C50" s="586" t="n">
        <v/>
      </c>
      <c r="D50" s="586" t="n">
        <v/>
      </c>
      <c r="E50" s="586" t="n">
        <v/>
      </c>
      <c r="F50" s="586" t="n">
        <v/>
      </c>
      <c r="G50" s="586" t="n">
        <v/>
      </c>
      <c r="H50" s="586" t="n">
        <v/>
      </c>
      <c r="I50" s="586" t="inlineStr">
        <is>
          <t>&lt;.001</t>
        </is>
      </c>
    </row>
    <row r="51">
      <c r="A51" s="586" t="n">
        <v/>
      </c>
      <c r="B51" s="586" t="inlineStr">
        <is>
          <t>Low</t>
        </is>
      </c>
      <c r="C51" s="586" t="inlineStr">
        <is>
          <t>16,987 (72.5)</t>
        </is>
      </c>
      <c r="D51" s="586" t="inlineStr">
        <is>
          <t>1,093 (78.0)</t>
        </is>
      </c>
      <c r="E51" s="586" t="inlineStr">
        <is>
          <t>7,892 (74.6)</t>
        </is>
      </c>
      <c r="F51" s="586" t="inlineStr">
        <is>
          <t>4,970 (70.6)</t>
        </is>
      </c>
      <c r="G51" s="586" t="inlineStr">
        <is>
          <t>2,493 (69.5)</t>
        </is>
      </c>
      <c r="H51" s="586" t="inlineStr">
        <is>
          <t>539 (67.0)</t>
        </is>
      </c>
      <c r="I51" s="586" t="n">
        <v/>
      </c>
    </row>
    <row r="52">
      <c r="A52" s="586" t="n">
        <v/>
      </c>
      <c r="B52" s="586" t="inlineStr">
        <is>
          <t>High</t>
        </is>
      </c>
      <c r="C52" s="586" t="inlineStr">
        <is>
          <t>6,345 (27.1)</t>
        </is>
      </c>
      <c r="D52" s="586" t="inlineStr">
        <is>
          <t>301 (21.5)</t>
        </is>
      </c>
      <c r="E52" s="586" t="inlineStr">
        <is>
          <t>2,656 (25.1)</t>
        </is>
      </c>
      <c r="F52" s="586" t="inlineStr">
        <is>
          <t>2,050 (29.1)</t>
        </is>
      </c>
      <c r="G52" s="586" t="inlineStr">
        <is>
          <t>1,077 (30.0)</t>
        </is>
      </c>
      <c r="H52" s="586" t="inlineStr">
        <is>
          <t>261 (32.5)</t>
        </is>
      </c>
      <c r="I52" s="586" t="n">
        <v/>
      </c>
    </row>
    <row r="53">
      <c r="A53" s="586" t="n">
        <v/>
      </c>
      <c r="B53" s="586" t="inlineStr">
        <is>
          <t>Missing</t>
        </is>
      </c>
      <c r="C53" s="586" t="inlineStr">
        <is>
          <t>86 (0.4)</t>
        </is>
      </c>
      <c r="D53" s="586" t="inlineStr">
        <is>
          <t>8 (0.6)</t>
        </is>
      </c>
      <c r="E53" s="586" t="inlineStr">
        <is>
          <t>33 (0.3)</t>
        </is>
      </c>
      <c r="F53" s="586" t="inlineStr">
        <is>
          <t>23 (0.3)</t>
        </is>
      </c>
      <c r="G53" s="586" t="inlineStr">
        <is>
          <t>18 (0.5)</t>
        </is>
      </c>
      <c r="H53" s="586" t="inlineStr">
        <is>
          <t>4 (0.5)</t>
        </is>
      </c>
      <c r="I53" s="586" t="n">
        <v/>
      </c>
    </row>
    <row r="54">
      <c r="A54" s="586" t="inlineStr">
        <is>
          <t>PHQ-9 severity, n (%)</t>
        </is>
      </c>
      <c r="B54" s="586" t="n">
        <v/>
      </c>
      <c r="C54" s="586" t="n">
        <v/>
      </c>
      <c r="D54" s="586" t="n">
        <v/>
      </c>
      <c r="E54" s="586" t="n">
        <v/>
      </c>
      <c r="F54" s="586" t="n">
        <v/>
      </c>
      <c r="G54" s="586" t="n">
        <v/>
      </c>
      <c r="H54" s="586" t="n">
        <v/>
      </c>
      <c r="I54" s="586" t="inlineStr">
        <is>
          <t>&lt;.001</t>
        </is>
      </c>
    </row>
    <row r="55">
      <c r="A55" s="586" t="n">
        <v/>
      </c>
      <c r="B55" s="586" t="inlineStr">
        <is>
          <t>Minimal</t>
        </is>
      </c>
      <c r="C55" s="586" t="inlineStr">
        <is>
          <t>19,043 (81.3)</t>
        </is>
      </c>
      <c r="D55" s="586" t="inlineStr">
        <is>
          <t>1,211 (86.4)</t>
        </is>
      </c>
      <c r="E55" s="586" t="inlineStr">
        <is>
          <t>8,767 (82.9)</t>
        </is>
      </c>
      <c r="F55" s="586" t="inlineStr">
        <is>
          <t>5,663 (80.4)</t>
        </is>
      </c>
      <c r="G55" s="586" t="inlineStr">
        <is>
          <t>2,804 (78.1)</t>
        </is>
      </c>
      <c r="H55" s="586" t="inlineStr">
        <is>
          <t>598 (74.4)</t>
        </is>
      </c>
      <c r="I55" s="586" t="n">
        <v/>
      </c>
    </row>
    <row r="56">
      <c r="A56" s="586" t="n">
        <v/>
      </c>
      <c r="B56" s="586" t="inlineStr">
        <is>
          <t>Mild_or_greater</t>
        </is>
      </c>
      <c r="C56" s="586" t="inlineStr">
        <is>
          <t>4,375 (18.7)</t>
        </is>
      </c>
      <c r="D56" s="586" t="inlineStr">
        <is>
          <t>191 (13.6)</t>
        </is>
      </c>
      <c r="E56" s="586" t="inlineStr">
        <is>
          <t>1,814 (17.1)</t>
        </is>
      </c>
      <c r="F56" s="586" t="inlineStr">
        <is>
          <t>1,380 (19.6)</t>
        </is>
      </c>
      <c r="G56" s="586" t="inlineStr">
        <is>
          <t>784 (21.9)</t>
        </is>
      </c>
      <c r="H56" s="586" t="inlineStr">
        <is>
          <t>206 (25.6)</t>
        </is>
      </c>
      <c r="I56" s="586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84" min="1" max="1"/>
    <col width="15" customWidth="1" style="584" min="2" max="2"/>
    <col width="21" customWidth="1" style="584" min="3" max="3"/>
    <col width="17" customWidth="1" style="584" min="4" max="4"/>
  </cols>
  <sheetData>
    <row r="1">
      <c r="A1" s="585" t="inlineStr">
        <is>
          <t>RHR group</t>
        </is>
      </c>
      <c r="B1" s="585" t="inlineStr">
        <is>
          <t>Cases / total</t>
        </is>
      </c>
      <c r="C1" s="585" t="inlineStr">
        <is>
          <t>Model 3 OR (95% CI)</t>
        </is>
      </c>
      <c r="D1" s="585" t="inlineStr">
        <is>
          <t>Model 3 p-value</t>
        </is>
      </c>
    </row>
    <row r="2">
      <c r="A2" s="586" t="inlineStr">
        <is>
          <t>&lt;60 bpm</t>
        </is>
      </c>
      <c r="B2" s="586" t="inlineStr">
        <is>
          <t>191/1,402</t>
        </is>
      </c>
      <c r="C2" s="586" t="inlineStr">
        <is>
          <t>1.00 (Reference)</t>
        </is>
      </c>
      <c r="D2" s="586" t="inlineStr"/>
    </row>
    <row r="3">
      <c r="A3" s="586" t="inlineStr">
        <is>
          <t>60-69 bpm</t>
        </is>
      </c>
      <c r="B3" s="586" t="inlineStr">
        <is>
          <t>1,814/10,581</t>
        </is>
      </c>
      <c r="C3" s="586" t="inlineStr">
        <is>
          <t>1.12 (0.95-1.32)</t>
        </is>
      </c>
      <c r="D3" s="586" t="inlineStr">
        <is>
          <t>0.188</t>
        </is>
      </c>
    </row>
    <row r="4">
      <c r="A4" s="586" t="inlineStr">
        <is>
          <t>70-79 bpm</t>
        </is>
      </c>
      <c r="B4" s="586" t="inlineStr">
        <is>
          <t>1,380/7,043</t>
        </is>
      </c>
      <c r="C4" s="586" t="inlineStr">
        <is>
          <t>1.22 (1.03-1.44)</t>
        </is>
      </c>
      <c r="D4" s="586" t="inlineStr">
        <is>
          <t>0.023</t>
        </is>
      </c>
    </row>
    <row r="5">
      <c r="A5" s="586" t="inlineStr">
        <is>
          <t>80-89 bpm</t>
        </is>
      </c>
      <c r="B5" s="586" t="inlineStr">
        <is>
          <t>784/3,588</t>
        </is>
      </c>
      <c r="C5" s="586" t="inlineStr">
        <is>
          <t>1.28 (1.07-1.53)</t>
        </is>
      </c>
      <c r="D5" s="586" t="inlineStr">
        <is>
          <t>0.008</t>
        </is>
      </c>
    </row>
    <row r="6">
      <c r="A6" s="586" t="inlineStr">
        <is>
          <t>&gt;=90 bpm</t>
        </is>
      </c>
      <c r="B6" s="586" t="inlineStr">
        <is>
          <t>206/804</t>
        </is>
      </c>
      <c r="C6" s="586" t="inlineStr">
        <is>
          <t>1.49 (1.18-1.87)</t>
        </is>
      </c>
      <c r="D6" s="586" t="inlineStr">
        <is>
          <t>&lt;0.001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style="584" min="1" max="1"/>
    <col width="16" customWidth="1" style="584" min="2" max="2"/>
    <col width="25" customWidth="1" style="584" min="3" max="3"/>
    <col width="12" customWidth="1" style="584" min="4" max="4"/>
    <col width="28" customWidth="1" style="584" min="5" max="5"/>
    <col width="39" customWidth="1" style="584" min="6" max="6"/>
    <col width="18" customWidth="1" style="584" min="7" max="7"/>
    <col width="12" customWidth="1" style="584" min="8" max="8"/>
  </cols>
  <sheetData>
    <row r="1">
      <c r="A1" s="585" t="inlineStr">
        <is>
          <t>Model label</t>
        </is>
      </c>
      <c r="B1" s="585" t="inlineStr">
        <is>
          <t>analysis_group</t>
        </is>
      </c>
      <c r="C1" s="585" t="inlineStr">
        <is>
          <t>model</t>
        </is>
      </c>
      <c r="D1" s="585" t="inlineStr">
        <is>
          <t>n</t>
        </is>
      </c>
      <c r="E1" s="585" t="inlineStr">
        <is>
          <t>outcome_comparison</t>
        </is>
      </c>
      <c r="F1" s="585" t="inlineStr">
        <is>
          <t>term</t>
        </is>
      </c>
      <c r="G1" s="585" t="inlineStr">
        <is>
          <t>OR (95% CI)</t>
        </is>
      </c>
      <c r="H1" s="585" t="inlineStr">
        <is>
          <t>p-value</t>
        </is>
      </c>
    </row>
    <row r="2">
      <c r="A2" s="586" t="inlineStr">
        <is>
          <t>Model 1</t>
        </is>
      </c>
      <c r="B2" s="586" t="inlineStr">
        <is>
          <t>Total</t>
        </is>
      </c>
      <c r="C2" s="586" t="inlineStr">
        <is>
          <t>model1_sociodemographic</t>
        </is>
      </c>
      <c r="D2" s="586" t="n">
        <v>23322</v>
      </c>
      <c r="E2" s="586" t="inlineStr">
        <is>
          <t>Mild_or_greater vs Minimal</t>
        </is>
      </c>
      <c r="F2" s="586" t="inlineStr">
        <is>
          <t>const</t>
        </is>
      </c>
      <c r="G2" s="586" t="inlineStr">
        <is>
          <t>0.26 (0.22-0.31)</t>
        </is>
      </c>
      <c r="H2" s="586" t="inlineStr">
        <is>
          <t>&lt;0.001</t>
        </is>
      </c>
    </row>
    <row r="3">
      <c r="A3" s="586" t="inlineStr">
        <is>
          <t>Model 1</t>
        </is>
      </c>
      <c r="B3" s="586" t="inlineStr">
        <is>
          <t>Total</t>
        </is>
      </c>
      <c r="C3" s="586" t="inlineStr">
        <is>
          <t>model1_sociodemographic</t>
        </is>
      </c>
      <c r="D3" s="586" t="n">
        <v>23322</v>
      </c>
      <c r="E3" s="586" t="inlineStr">
        <is>
          <t>Mild_or_greater vs Minimal</t>
        </is>
      </c>
      <c r="F3" s="586" t="inlineStr">
        <is>
          <t>age_numeric</t>
        </is>
      </c>
      <c r="G3" s="586" t="inlineStr">
        <is>
          <t>0.98 (0.98-0.98)</t>
        </is>
      </c>
      <c r="H3" s="586" t="inlineStr">
        <is>
          <t>&lt;0.001</t>
        </is>
      </c>
    </row>
    <row r="4">
      <c r="A4" s="586" t="inlineStr">
        <is>
          <t>Model 1</t>
        </is>
      </c>
      <c r="B4" s="586" t="inlineStr">
        <is>
          <t>Total</t>
        </is>
      </c>
      <c r="C4" s="586" t="inlineStr">
        <is>
          <t>model1_sociodemographic</t>
        </is>
      </c>
      <c r="D4" s="586" t="n">
        <v>23322</v>
      </c>
      <c r="E4" s="586" t="inlineStr">
        <is>
          <t>Mild_or_greater vs Minimal</t>
        </is>
      </c>
      <c r="F4" s="586" t="inlineStr">
        <is>
          <t>sex[Male]</t>
        </is>
      </c>
      <c r="G4" s="586" t="inlineStr">
        <is>
          <t>1.00 (Reference)</t>
        </is>
      </c>
      <c r="H4" s="586" t="n">
        <v/>
      </c>
    </row>
    <row r="5">
      <c r="A5" s="586" t="inlineStr">
        <is>
          <t>Model 1</t>
        </is>
      </c>
      <c r="B5" s="586" t="inlineStr">
        <is>
          <t>Total</t>
        </is>
      </c>
      <c r="C5" s="586" t="inlineStr">
        <is>
          <t>model1_sociodemographic</t>
        </is>
      </c>
      <c r="D5" s="586" t="n">
        <v>23322</v>
      </c>
      <c r="E5" s="586" t="inlineStr">
        <is>
          <t>Mild_or_greater vs Minimal</t>
        </is>
      </c>
      <c r="F5" s="586" t="inlineStr">
        <is>
          <t>sex[Female]</t>
        </is>
      </c>
      <c r="G5" s="586" t="inlineStr">
        <is>
          <t>1.76 (1.63-1.89)</t>
        </is>
      </c>
      <c r="H5" s="586" t="inlineStr">
        <is>
          <t>&lt;0.001</t>
        </is>
      </c>
    </row>
    <row r="6">
      <c r="A6" s="586" t="inlineStr">
        <is>
          <t>Model 1</t>
        </is>
      </c>
      <c r="B6" s="586" t="inlineStr">
        <is>
          <t>Total</t>
        </is>
      </c>
      <c r="C6" s="586" t="inlineStr">
        <is>
          <t>model1_sociodemographic</t>
        </is>
      </c>
      <c r="D6" s="586" t="n">
        <v>23322</v>
      </c>
      <c r="E6" s="586" t="inlineStr">
        <is>
          <t>Mild_or_greater vs Minimal</t>
        </is>
      </c>
      <c r="F6" s="586" t="inlineStr">
        <is>
          <t>education[College or above]</t>
        </is>
      </c>
      <c r="G6" s="586" t="inlineStr">
        <is>
          <t>1.00 (Reference)</t>
        </is>
      </c>
      <c r="H6" s="586" t="n">
        <v/>
      </c>
    </row>
    <row r="7">
      <c r="A7" s="586" t="inlineStr">
        <is>
          <t>Model 1</t>
        </is>
      </c>
      <c r="B7" s="586" t="inlineStr">
        <is>
          <t>Total</t>
        </is>
      </c>
      <c r="C7" s="586" t="inlineStr">
        <is>
          <t>model1_sociodemographic</t>
        </is>
      </c>
      <c r="D7" s="586" t="n">
        <v>23322</v>
      </c>
      <c r="E7" s="586" t="inlineStr">
        <is>
          <t>Mild_or_greater vs Minimal</t>
        </is>
      </c>
      <c r="F7" s="586" t="inlineStr">
        <is>
          <t>education[High school]</t>
        </is>
      </c>
      <c r="G7" s="586" t="inlineStr">
        <is>
          <t>1.09 (1.01-1.17)</t>
        </is>
      </c>
      <c r="H7" s="586" t="inlineStr">
        <is>
          <t>0.036</t>
        </is>
      </c>
    </row>
    <row r="8">
      <c r="A8" s="586" t="inlineStr">
        <is>
          <t>Model 1</t>
        </is>
      </c>
      <c r="B8" s="586" t="inlineStr">
        <is>
          <t>Total</t>
        </is>
      </c>
      <c r="C8" s="586" t="inlineStr">
        <is>
          <t>model1_sociodemographic</t>
        </is>
      </c>
      <c r="D8" s="586" t="n">
        <v>23322</v>
      </c>
      <c r="E8" s="586" t="inlineStr">
        <is>
          <t>Mild_or_greater vs Minimal</t>
        </is>
      </c>
      <c r="F8" s="586" t="inlineStr">
        <is>
          <t>education[Middle school]</t>
        </is>
      </c>
      <c r="G8" s="586" t="inlineStr">
        <is>
          <t>1.34 (1.16-1.54)</t>
        </is>
      </c>
      <c r="H8" s="586" t="inlineStr">
        <is>
          <t>&lt;0.001</t>
        </is>
      </c>
    </row>
    <row r="9">
      <c r="A9" s="586" t="inlineStr">
        <is>
          <t>Model 1</t>
        </is>
      </c>
      <c r="B9" s="586" t="inlineStr">
        <is>
          <t>Total</t>
        </is>
      </c>
      <c r="C9" s="586" t="inlineStr">
        <is>
          <t>model1_sociodemographic</t>
        </is>
      </c>
      <c r="D9" s="586" t="n">
        <v>23322</v>
      </c>
      <c r="E9" s="586" t="inlineStr">
        <is>
          <t>Mild_or_greater vs Minimal</t>
        </is>
      </c>
      <c r="F9" s="586" t="inlineStr">
        <is>
          <t>education[Primary school or below]</t>
        </is>
      </c>
      <c r="G9" s="586" t="inlineStr">
        <is>
          <t>1.74 (1.51-1.99)</t>
        </is>
      </c>
      <c r="H9" s="586" t="inlineStr">
        <is>
          <t>&lt;0.001</t>
        </is>
      </c>
    </row>
    <row r="10">
      <c r="A10" s="586" t="inlineStr">
        <is>
          <t>Model 1</t>
        </is>
      </c>
      <c r="B10" s="586" t="inlineStr">
        <is>
          <t>Total</t>
        </is>
      </c>
      <c r="C10" s="586" t="inlineStr">
        <is>
          <t>model1_sociodemographic</t>
        </is>
      </c>
      <c r="D10" s="586" t="n">
        <v>23322</v>
      </c>
      <c r="E10" s="586" t="inlineStr">
        <is>
          <t>Mild_or_greater vs Minimal</t>
        </is>
      </c>
      <c r="F10" s="586" t="inlineStr">
        <is>
          <t>income[High]</t>
        </is>
      </c>
      <c r="G10" s="586" t="inlineStr">
        <is>
          <t>1.00 (Reference)</t>
        </is>
      </c>
      <c r="H10" s="586" t="n">
        <v/>
      </c>
    </row>
    <row r="11">
      <c r="A11" s="586" t="inlineStr">
        <is>
          <t>Model 1</t>
        </is>
      </c>
      <c r="B11" s="586" t="inlineStr">
        <is>
          <t>Total</t>
        </is>
      </c>
      <c r="C11" s="586" t="inlineStr">
        <is>
          <t>model1_sociodemographic</t>
        </is>
      </c>
      <c r="D11" s="586" t="n">
        <v>23322</v>
      </c>
      <c r="E11" s="586" t="inlineStr">
        <is>
          <t>Mild_or_greater vs Minimal</t>
        </is>
      </c>
      <c r="F11" s="586" t="inlineStr">
        <is>
          <t>income[Middle-high]</t>
        </is>
      </c>
      <c r="G11" s="586" t="inlineStr">
        <is>
          <t>1.20 (1.10-1.31)</t>
        </is>
      </c>
      <c r="H11" s="586" t="inlineStr">
        <is>
          <t>&lt;0.001</t>
        </is>
      </c>
    </row>
    <row r="12">
      <c r="A12" s="586" t="inlineStr">
        <is>
          <t>Model 1</t>
        </is>
      </c>
      <c r="B12" s="586" t="inlineStr">
        <is>
          <t>Total</t>
        </is>
      </c>
      <c r="C12" s="586" t="inlineStr">
        <is>
          <t>model1_sociodemographic</t>
        </is>
      </c>
      <c r="D12" s="586" t="n">
        <v>23322</v>
      </c>
      <c r="E12" s="586" t="inlineStr">
        <is>
          <t>Mild_or_greater vs Minimal</t>
        </is>
      </c>
      <c r="F12" s="586" t="inlineStr">
        <is>
          <t>income[Middle-low]</t>
        </is>
      </c>
      <c r="G12" s="586" t="inlineStr">
        <is>
          <t>1.36 (1.23-1.49)</t>
        </is>
      </c>
      <c r="H12" s="586" t="inlineStr">
        <is>
          <t>&lt;0.001</t>
        </is>
      </c>
    </row>
    <row r="13">
      <c r="A13" s="586" t="inlineStr">
        <is>
          <t>Model 1</t>
        </is>
      </c>
      <c r="B13" s="586" t="inlineStr">
        <is>
          <t>Total</t>
        </is>
      </c>
      <c r="C13" s="586" t="inlineStr">
        <is>
          <t>model1_sociodemographic</t>
        </is>
      </c>
      <c r="D13" s="586" t="n">
        <v>23322</v>
      </c>
      <c r="E13" s="586" t="inlineStr">
        <is>
          <t>Mild_or_greater vs Minimal</t>
        </is>
      </c>
      <c r="F13" s="586" t="inlineStr">
        <is>
          <t>income[Low]</t>
        </is>
      </c>
      <c r="G13" s="586" t="inlineStr">
        <is>
          <t>1.84 (1.64-2.07)</t>
        </is>
      </c>
      <c r="H13" s="586" t="inlineStr">
        <is>
          <t>&lt;0.001</t>
        </is>
      </c>
    </row>
    <row r="14">
      <c r="A14" s="586" t="inlineStr">
        <is>
          <t>Model 1</t>
        </is>
      </c>
      <c r="B14" s="586" t="inlineStr">
        <is>
          <t>Total</t>
        </is>
      </c>
      <c r="C14" s="586" t="inlineStr">
        <is>
          <t>model1_sociodemographic</t>
        </is>
      </c>
      <c r="D14" s="586" t="n">
        <v>23322</v>
      </c>
      <c r="E14" s="586" t="inlineStr">
        <is>
          <t>Mild_or_greater vs Minimal</t>
        </is>
      </c>
      <c r="F14" s="586" t="inlineStr">
        <is>
          <t>marital_status[Yes]</t>
        </is>
      </c>
      <c r="G14" s="586" t="inlineStr">
        <is>
          <t>1.00 (Reference)</t>
        </is>
      </c>
      <c r="H14" s="586" t="n">
        <v/>
      </c>
    </row>
    <row r="15">
      <c r="A15" s="586" t="inlineStr">
        <is>
          <t>Model 1</t>
        </is>
      </c>
      <c r="B15" s="586" t="inlineStr">
        <is>
          <t>Total</t>
        </is>
      </c>
      <c r="C15" s="586" t="inlineStr">
        <is>
          <t>model1_sociodemographic</t>
        </is>
      </c>
      <c r="D15" s="586" t="n">
        <v>23322</v>
      </c>
      <c r="E15" s="586" t="inlineStr">
        <is>
          <t>Mild_or_greater vs Minimal</t>
        </is>
      </c>
      <c r="F15" s="586" t="inlineStr">
        <is>
          <t>marital_status[No]</t>
        </is>
      </c>
      <c r="G15" s="586" t="inlineStr">
        <is>
          <t>1.21 (1.09-1.34)</t>
        </is>
      </c>
      <c r="H15" s="586" t="inlineStr">
        <is>
          <t>&lt;0.001</t>
        </is>
      </c>
    </row>
    <row r="16">
      <c r="A16" s="586" t="inlineStr">
        <is>
          <t>Model 1</t>
        </is>
      </c>
      <c r="B16" s="586" t="inlineStr">
        <is>
          <t>Total</t>
        </is>
      </c>
      <c r="C16" s="586" t="inlineStr">
        <is>
          <t>model1_sociodemographic</t>
        </is>
      </c>
      <c r="D16" s="586" t="n">
        <v>23322</v>
      </c>
      <c r="E16" s="586" t="inlineStr">
        <is>
          <t>Mild_or_greater vs Minimal</t>
        </is>
      </c>
      <c r="F16" s="586" t="inlineStr">
        <is>
          <t>working_status[Yes]</t>
        </is>
      </c>
      <c r="G16" s="586" t="inlineStr">
        <is>
          <t>1.00 (Reference)</t>
        </is>
      </c>
      <c r="H16" s="586" t="n">
        <v/>
      </c>
    </row>
    <row r="17">
      <c r="A17" s="586" t="inlineStr">
        <is>
          <t>Model 1</t>
        </is>
      </c>
      <c r="B17" s="586" t="inlineStr">
        <is>
          <t>Total</t>
        </is>
      </c>
      <c r="C17" s="586" t="inlineStr">
        <is>
          <t>model1_sociodemographic</t>
        </is>
      </c>
      <c r="D17" s="586" t="n">
        <v>23322</v>
      </c>
      <c r="E17" s="586" t="inlineStr">
        <is>
          <t>Mild_or_greater vs Minimal</t>
        </is>
      </c>
      <c r="F17" s="586" t="inlineStr">
        <is>
          <t>working_status[No]</t>
        </is>
      </c>
      <c r="G17" s="586" t="inlineStr">
        <is>
          <t>1.19 (1.11-1.28)</t>
        </is>
      </c>
      <c r="H17" s="586" t="inlineStr">
        <is>
          <t>&lt;0.001</t>
        </is>
      </c>
    </row>
    <row r="18">
      <c r="A18" s="586" t="inlineStr">
        <is>
          <t>Model 2</t>
        </is>
      </c>
      <c r="B18" s="586" t="inlineStr">
        <is>
          <t>Total</t>
        </is>
      </c>
      <c r="C18" s="586" t="inlineStr">
        <is>
          <t>model2_health_behavior</t>
        </is>
      </c>
      <c r="D18" s="586" t="n">
        <v>23151</v>
      </c>
      <c r="E18" s="586" t="inlineStr">
        <is>
          <t>Mild_or_greater vs Minimal</t>
        </is>
      </c>
      <c r="F18" s="586" t="inlineStr">
        <is>
          <t>const</t>
        </is>
      </c>
      <c r="G18" s="586" t="inlineStr">
        <is>
          <t>0.36 (0.24-0.54)</t>
        </is>
      </c>
      <c r="H18" s="586" t="inlineStr">
        <is>
          <t>&lt;0.001</t>
        </is>
      </c>
    </row>
    <row r="19">
      <c r="A19" s="586" t="inlineStr">
        <is>
          <t>Model 2</t>
        </is>
      </c>
      <c r="B19" s="586" t="inlineStr">
        <is>
          <t>Total</t>
        </is>
      </c>
      <c r="C19" s="586" t="inlineStr">
        <is>
          <t>model2_health_behavior</t>
        </is>
      </c>
      <c r="D19" s="586" t="n">
        <v>23151</v>
      </c>
      <c r="E19" s="586" t="inlineStr">
        <is>
          <t>Mild_or_greater vs Minimal</t>
        </is>
      </c>
      <c r="F19" s="586" t="inlineStr">
        <is>
          <t>age_numeric</t>
        </is>
      </c>
      <c r="G19" s="586" t="inlineStr">
        <is>
          <t>0.98 (0.98-0.98)</t>
        </is>
      </c>
      <c r="H19" s="586" t="inlineStr">
        <is>
          <t>&lt;0.001</t>
        </is>
      </c>
    </row>
    <row r="20">
      <c r="A20" s="586" t="inlineStr">
        <is>
          <t>Model 2</t>
        </is>
      </c>
      <c r="B20" s="586" t="inlineStr">
        <is>
          <t>Total</t>
        </is>
      </c>
      <c r="C20" s="586" t="inlineStr">
        <is>
          <t>model2_health_behavior</t>
        </is>
      </c>
      <c r="D20" s="586" t="n">
        <v>23151</v>
      </c>
      <c r="E20" s="586" t="inlineStr">
        <is>
          <t>Mild_or_greater vs Minimal</t>
        </is>
      </c>
      <c r="F20" s="586" t="inlineStr">
        <is>
          <t>sex[Male]</t>
        </is>
      </c>
      <c r="G20" s="586" t="inlineStr">
        <is>
          <t>1.00 (Reference)</t>
        </is>
      </c>
      <c r="H20" s="586" t="n">
        <v/>
      </c>
    </row>
    <row r="21">
      <c r="A21" s="586" t="inlineStr">
        <is>
          <t>Model 2</t>
        </is>
      </c>
      <c r="B21" s="586" t="inlineStr">
        <is>
          <t>Total</t>
        </is>
      </c>
      <c r="C21" s="586" t="inlineStr">
        <is>
          <t>model2_health_behavior</t>
        </is>
      </c>
      <c r="D21" s="586" t="n">
        <v>23151</v>
      </c>
      <c r="E21" s="586" t="inlineStr">
        <is>
          <t>Mild_or_greater vs Minimal</t>
        </is>
      </c>
      <c r="F21" s="586" t="inlineStr">
        <is>
          <t>sex[Female]</t>
        </is>
      </c>
      <c r="G21" s="586" t="inlineStr">
        <is>
          <t>2.72 (2.47-2.99)</t>
        </is>
      </c>
      <c r="H21" s="586" t="inlineStr">
        <is>
          <t>&lt;0.001</t>
        </is>
      </c>
    </row>
    <row r="22">
      <c r="A22" s="586" t="inlineStr">
        <is>
          <t>Model 2</t>
        </is>
      </c>
      <c r="B22" s="586" t="inlineStr">
        <is>
          <t>Total</t>
        </is>
      </c>
      <c r="C22" s="586" t="inlineStr">
        <is>
          <t>model2_health_behavior</t>
        </is>
      </c>
      <c r="D22" s="586" t="n">
        <v>23151</v>
      </c>
      <c r="E22" s="586" t="inlineStr">
        <is>
          <t>Mild_or_greater vs Minimal</t>
        </is>
      </c>
      <c r="F22" s="586" t="inlineStr">
        <is>
          <t>education[College or above]</t>
        </is>
      </c>
      <c r="G22" s="586" t="inlineStr">
        <is>
          <t>1.00 (Reference)</t>
        </is>
      </c>
      <c r="H22" s="586" t="n">
        <v/>
      </c>
    </row>
    <row r="23">
      <c r="A23" s="586" t="inlineStr">
        <is>
          <t>Model 2</t>
        </is>
      </c>
      <c r="B23" s="586" t="inlineStr">
        <is>
          <t>Total</t>
        </is>
      </c>
      <c r="C23" s="586" t="inlineStr">
        <is>
          <t>model2_health_behavior</t>
        </is>
      </c>
      <c r="D23" s="586" t="n">
        <v>23151</v>
      </c>
      <c r="E23" s="586" t="inlineStr">
        <is>
          <t>Mild_or_greater vs Minimal</t>
        </is>
      </c>
      <c r="F23" s="586" t="inlineStr">
        <is>
          <t>education[High school]</t>
        </is>
      </c>
      <c r="G23" s="586" t="inlineStr">
        <is>
          <t>1.04 (0.96-1.12)</t>
        </is>
      </c>
      <c r="H23" s="586" t="inlineStr">
        <is>
          <t>0.324</t>
        </is>
      </c>
    </row>
    <row r="24">
      <c r="A24" s="586" t="inlineStr">
        <is>
          <t>Model 2</t>
        </is>
      </c>
      <c r="B24" s="586" t="inlineStr">
        <is>
          <t>Total</t>
        </is>
      </c>
      <c r="C24" s="586" t="inlineStr">
        <is>
          <t>model2_health_behavior</t>
        </is>
      </c>
      <c r="D24" s="586" t="n">
        <v>23151</v>
      </c>
      <c r="E24" s="586" t="inlineStr">
        <is>
          <t>Mild_or_greater vs Minimal</t>
        </is>
      </c>
      <c r="F24" s="586" t="inlineStr">
        <is>
          <t>education[Middle school]</t>
        </is>
      </c>
      <c r="G24" s="586" t="inlineStr">
        <is>
          <t>1.25 (1.08-1.45)</t>
        </is>
      </c>
      <c r="H24" s="586" t="inlineStr">
        <is>
          <t>0.002</t>
        </is>
      </c>
    </row>
    <row r="25">
      <c r="A25" s="586" t="inlineStr">
        <is>
          <t>Model 2</t>
        </is>
      </c>
      <c r="B25" s="586" t="inlineStr">
        <is>
          <t>Total</t>
        </is>
      </c>
      <c r="C25" s="586" t="inlineStr">
        <is>
          <t>model2_health_behavior</t>
        </is>
      </c>
      <c r="D25" s="586" t="n">
        <v>23151</v>
      </c>
      <c r="E25" s="586" t="inlineStr">
        <is>
          <t>Mild_or_greater vs Minimal</t>
        </is>
      </c>
      <c r="F25" s="586" t="inlineStr">
        <is>
          <t>education[Primary school or below]</t>
        </is>
      </c>
      <c r="G25" s="586" t="inlineStr">
        <is>
          <t>1.63 (1.41-1.87)</t>
        </is>
      </c>
      <c r="H25" s="586" t="inlineStr">
        <is>
          <t>&lt;0.001</t>
        </is>
      </c>
    </row>
    <row r="26">
      <c r="A26" s="586" t="inlineStr">
        <is>
          <t>Model 2</t>
        </is>
      </c>
      <c r="B26" s="586" t="inlineStr">
        <is>
          <t>Total</t>
        </is>
      </c>
      <c r="C26" s="586" t="inlineStr">
        <is>
          <t>model2_health_behavior</t>
        </is>
      </c>
      <c r="D26" s="586" t="n">
        <v>23151</v>
      </c>
      <c r="E26" s="586" t="inlineStr">
        <is>
          <t>Mild_or_greater vs Minimal</t>
        </is>
      </c>
      <c r="F26" s="586" t="inlineStr">
        <is>
          <t>income[High]</t>
        </is>
      </c>
      <c r="G26" s="586" t="inlineStr">
        <is>
          <t>1.00 (Reference)</t>
        </is>
      </c>
      <c r="H26" s="586" t="n">
        <v/>
      </c>
    </row>
    <row r="27">
      <c r="A27" s="586" t="inlineStr">
        <is>
          <t>Model 2</t>
        </is>
      </c>
      <c r="B27" s="586" t="inlineStr">
        <is>
          <t>Total</t>
        </is>
      </c>
      <c r="C27" s="586" t="inlineStr">
        <is>
          <t>model2_health_behavior</t>
        </is>
      </c>
      <c r="D27" s="586" t="n">
        <v>23151</v>
      </c>
      <c r="E27" s="586" t="inlineStr">
        <is>
          <t>Mild_or_greater vs Minimal</t>
        </is>
      </c>
      <c r="F27" s="586" t="inlineStr">
        <is>
          <t>income[Middle-high]</t>
        </is>
      </c>
      <c r="G27" s="586" t="inlineStr">
        <is>
          <t>1.18 (1.08-1.29)</t>
        </is>
      </c>
      <c r="H27" s="586" t="inlineStr">
        <is>
          <t>&lt;0.001</t>
        </is>
      </c>
    </row>
    <row r="28">
      <c r="A28" s="586" t="inlineStr">
        <is>
          <t>Model 2</t>
        </is>
      </c>
      <c r="B28" s="586" t="inlineStr">
        <is>
          <t>Total</t>
        </is>
      </c>
      <c r="C28" s="586" t="inlineStr">
        <is>
          <t>model2_health_behavior</t>
        </is>
      </c>
      <c r="D28" s="586" t="n">
        <v>23151</v>
      </c>
      <c r="E28" s="586" t="inlineStr">
        <is>
          <t>Mild_or_greater vs Minimal</t>
        </is>
      </c>
      <c r="F28" s="586" t="inlineStr">
        <is>
          <t>income[Middle-low]</t>
        </is>
      </c>
      <c r="G28" s="586" t="inlineStr">
        <is>
          <t>1.31 (1.19-1.45)</t>
        </is>
      </c>
      <c r="H28" s="586" t="inlineStr">
        <is>
          <t>&lt;0.001</t>
        </is>
      </c>
    </row>
    <row r="29">
      <c r="A29" s="586" t="inlineStr">
        <is>
          <t>Model 2</t>
        </is>
      </c>
      <c r="B29" s="586" t="inlineStr">
        <is>
          <t>Total</t>
        </is>
      </c>
      <c r="C29" s="586" t="inlineStr">
        <is>
          <t>model2_health_behavior</t>
        </is>
      </c>
      <c r="D29" s="586" t="n">
        <v>23151</v>
      </c>
      <c r="E29" s="586" t="inlineStr">
        <is>
          <t>Mild_or_greater vs Minimal</t>
        </is>
      </c>
      <c r="F29" s="586" t="inlineStr">
        <is>
          <t>income[Low]</t>
        </is>
      </c>
      <c r="G29" s="586" t="inlineStr">
        <is>
          <t>1.79 (1.59-2.02)</t>
        </is>
      </c>
      <c r="H29" s="586" t="inlineStr">
        <is>
          <t>&lt;0.001</t>
        </is>
      </c>
    </row>
    <row r="30">
      <c r="A30" s="586" t="inlineStr">
        <is>
          <t>Model 2</t>
        </is>
      </c>
      <c r="B30" s="586" t="inlineStr">
        <is>
          <t>Total</t>
        </is>
      </c>
      <c r="C30" s="586" t="inlineStr">
        <is>
          <t>model2_health_behavior</t>
        </is>
      </c>
      <c r="D30" s="586" t="n">
        <v>23151</v>
      </c>
      <c r="E30" s="586" t="inlineStr">
        <is>
          <t>Mild_or_greater vs Minimal</t>
        </is>
      </c>
      <c r="F30" s="586" t="inlineStr">
        <is>
          <t>marital_status[Yes]</t>
        </is>
      </c>
      <c r="G30" s="586" t="inlineStr">
        <is>
          <t>1.00 (Reference)</t>
        </is>
      </c>
      <c r="H30" s="586" t="n">
        <v/>
      </c>
    </row>
    <row r="31">
      <c r="A31" s="586" t="inlineStr">
        <is>
          <t>Model 2</t>
        </is>
      </c>
      <c r="B31" s="586" t="inlineStr">
        <is>
          <t>Total</t>
        </is>
      </c>
      <c r="C31" s="586" t="inlineStr">
        <is>
          <t>model2_health_behavior</t>
        </is>
      </c>
      <c r="D31" s="586" t="n">
        <v>23151</v>
      </c>
      <c r="E31" s="586" t="inlineStr">
        <is>
          <t>Mild_or_greater vs Minimal</t>
        </is>
      </c>
      <c r="F31" s="586" t="inlineStr">
        <is>
          <t>marital_status[No]</t>
        </is>
      </c>
      <c r="G31" s="586" t="inlineStr">
        <is>
          <t>1.33 (1.20-1.47)</t>
        </is>
      </c>
      <c r="H31" s="586" t="inlineStr">
        <is>
          <t>&lt;0.001</t>
        </is>
      </c>
    </row>
    <row r="32">
      <c r="A32" s="586" t="inlineStr">
        <is>
          <t>Model 2</t>
        </is>
      </c>
      <c r="B32" s="586" t="inlineStr">
        <is>
          <t>Total</t>
        </is>
      </c>
      <c r="C32" s="586" t="inlineStr">
        <is>
          <t>model2_health_behavior</t>
        </is>
      </c>
      <c r="D32" s="586" t="n">
        <v>23151</v>
      </c>
      <c r="E32" s="586" t="inlineStr">
        <is>
          <t>Mild_or_greater vs Minimal</t>
        </is>
      </c>
      <c r="F32" s="586" t="inlineStr">
        <is>
          <t>working_status[Yes]</t>
        </is>
      </c>
      <c r="G32" s="586" t="inlineStr">
        <is>
          <t>1.00 (Reference)</t>
        </is>
      </c>
      <c r="H32" s="586" t="n">
        <v/>
      </c>
    </row>
    <row r="33">
      <c r="A33" s="586" t="inlineStr">
        <is>
          <t>Model 2</t>
        </is>
      </c>
      <c r="B33" s="586" t="inlineStr">
        <is>
          <t>Total</t>
        </is>
      </c>
      <c r="C33" s="586" t="inlineStr">
        <is>
          <t>model2_health_behavior</t>
        </is>
      </c>
      <c r="D33" s="586" t="n">
        <v>23151</v>
      </c>
      <c r="E33" s="586" t="inlineStr">
        <is>
          <t>Mild_or_greater vs Minimal</t>
        </is>
      </c>
      <c r="F33" s="586" t="inlineStr">
        <is>
          <t>working_status[No]</t>
        </is>
      </c>
      <c r="G33" s="586" t="inlineStr">
        <is>
          <t>1.26 (1.17-1.36)</t>
        </is>
      </c>
      <c r="H33" s="586" t="inlineStr">
        <is>
          <t>&lt;0.001</t>
        </is>
      </c>
    </row>
    <row r="34">
      <c r="A34" s="586" t="inlineStr">
        <is>
          <t>Model 2</t>
        </is>
      </c>
      <c r="B34" s="586" t="inlineStr">
        <is>
          <t>Total</t>
        </is>
      </c>
      <c r="C34" s="586" t="inlineStr">
        <is>
          <t>model2_health_behavior</t>
        </is>
      </c>
      <c r="D34" s="586" t="n">
        <v>23151</v>
      </c>
      <c r="E34" s="586" t="inlineStr">
        <is>
          <t>Mild_or_greater vs Minimal</t>
        </is>
      </c>
      <c r="F34" s="586" t="inlineStr">
        <is>
          <t>alcohol[Never]</t>
        </is>
      </c>
      <c r="G34" s="586" t="inlineStr">
        <is>
          <t>1.00 (Reference)</t>
        </is>
      </c>
      <c r="H34" s="586" t="n">
        <v/>
      </c>
    </row>
    <row r="35">
      <c r="A35" s="586" t="inlineStr">
        <is>
          <t>Model 2</t>
        </is>
      </c>
      <c r="B35" s="586" t="inlineStr">
        <is>
          <t>Total</t>
        </is>
      </c>
      <c r="C35" s="586" t="inlineStr">
        <is>
          <t>model2_health_behavior</t>
        </is>
      </c>
      <c r="D35" s="586" t="n">
        <v>23151</v>
      </c>
      <c r="E35" s="586" t="inlineStr">
        <is>
          <t>Mild_or_greater vs Minimal</t>
        </is>
      </c>
      <c r="F35" s="586" t="inlineStr">
        <is>
          <t>alcohol[Previous]</t>
        </is>
      </c>
      <c r="G35" s="586" t="inlineStr">
        <is>
          <t>1.21 (1.04-1.40)</t>
        </is>
      </c>
      <c r="H35" s="586" t="inlineStr">
        <is>
          <t>0.016</t>
        </is>
      </c>
    </row>
    <row r="36">
      <c r="A36" s="586" t="inlineStr">
        <is>
          <t>Model 2</t>
        </is>
      </c>
      <c r="B36" s="586" t="inlineStr">
        <is>
          <t>Total</t>
        </is>
      </c>
      <c r="C36" s="586" t="inlineStr">
        <is>
          <t>model2_health_behavior</t>
        </is>
      </c>
      <c r="D36" s="586" t="n">
        <v>23151</v>
      </c>
      <c r="E36" s="586" t="inlineStr">
        <is>
          <t>Mild_or_greater vs Minimal</t>
        </is>
      </c>
      <c r="F36" s="586" t="inlineStr">
        <is>
          <t>alcohol[Current]</t>
        </is>
      </c>
      <c r="G36" s="586" t="inlineStr">
        <is>
          <t>1.18 (1.03-1.35)</t>
        </is>
      </c>
      <c r="H36" s="586" t="inlineStr">
        <is>
          <t>0.021</t>
        </is>
      </c>
    </row>
    <row r="37">
      <c r="A37" s="586" t="inlineStr">
        <is>
          <t>Model 2</t>
        </is>
      </c>
      <c r="B37" s="586" t="inlineStr">
        <is>
          <t>Total</t>
        </is>
      </c>
      <c r="C37" s="586" t="inlineStr">
        <is>
          <t>model2_health_behavior</t>
        </is>
      </c>
      <c r="D37" s="586" t="n">
        <v>23151</v>
      </c>
      <c r="E37" s="586" t="inlineStr">
        <is>
          <t>Mild_or_greater vs Minimal</t>
        </is>
      </c>
      <c r="F37" s="586" t="inlineStr">
        <is>
          <t>smoking[Never]</t>
        </is>
      </c>
      <c r="G37" s="586" t="inlineStr">
        <is>
          <t>1.00 (Reference)</t>
        </is>
      </c>
      <c r="H37" s="586" t="n">
        <v/>
      </c>
    </row>
    <row r="38">
      <c r="A38" s="586" t="inlineStr">
        <is>
          <t>Model 2</t>
        </is>
      </c>
      <c r="B38" s="586" t="inlineStr">
        <is>
          <t>Total</t>
        </is>
      </c>
      <c r="C38" s="586" t="inlineStr">
        <is>
          <t>model2_health_behavior</t>
        </is>
      </c>
      <c r="D38" s="586" t="n">
        <v>23151</v>
      </c>
      <c r="E38" s="586" t="inlineStr">
        <is>
          <t>Mild_or_greater vs Minimal</t>
        </is>
      </c>
      <c r="F38" s="586" t="inlineStr">
        <is>
          <t>smoking[Previous]</t>
        </is>
      </c>
      <c r="G38" s="586" t="inlineStr">
        <is>
          <t>1.66 (1.50-1.85)</t>
        </is>
      </c>
      <c r="H38" s="586" t="inlineStr">
        <is>
          <t>&lt;0.001</t>
        </is>
      </c>
    </row>
    <row r="39">
      <c r="A39" s="586" t="inlineStr">
        <is>
          <t>Model 2</t>
        </is>
      </c>
      <c r="B39" s="586" t="inlineStr">
        <is>
          <t>Total</t>
        </is>
      </c>
      <c r="C39" s="586" t="inlineStr">
        <is>
          <t>model2_health_behavior</t>
        </is>
      </c>
      <c r="D39" s="586" t="n">
        <v>23151</v>
      </c>
      <c r="E39" s="586" t="inlineStr">
        <is>
          <t>Mild_or_greater vs Minimal</t>
        </is>
      </c>
      <c r="F39" s="586" t="inlineStr">
        <is>
          <t>smoking[Current]</t>
        </is>
      </c>
      <c r="G39" s="586" t="inlineStr">
        <is>
          <t>2.29 (2.06-2.55)</t>
        </is>
      </c>
      <c r="H39" s="586" t="inlineStr">
        <is>
          <t>&lt;0.001</t>
        </is>
      </c>
    </row>
    <row r="40">
      <c r="A40" s="586" t="inlineStr">
        <is>
          <t>Model 2</t>
        </is>
      </c>
      <c r="B40" s="586" t="inlineStr">
        <is>
          <t>Total</t>
        </is>
      </c>
      <c r="C40" s="586" t="inlineStr">
        <is>
          <t>model2_health_behavior</t>
        </is>
      </c>
      <c r="D40" s="586" t="n">
        <v>23151</v>
      </c>
      <c r="E40" s="586" t="inlineStr">
        <is>
          <t>Mild_or_greater vs Minimal</t>
        </is>
      </c>
      <c r="F40" s="586" t="inlineStr">
        <is>
          <t>physical_activity[&gt;=600 MET-min/week]</t>
        </is>
      </c>
      <c r="G40" s="586" t="inlineStr">
        <is>
          <t>1.00 (Reference)</t>
        </is>
      </c>
      <c r="H40" s="586" t="n">
        <v/>
      </c>
    </row>
    <row r="41">
      <c r="A41" s="586" t="inlineStr">
        <is>
          <t>Model 2</t>
        </is>
      </c>
      <c r="B41" s="586" t="inlineStr">
        <is>
          <t>Total</t>
        </is>
      </c>
      <c r="C41" s="586" t="inlineStr">
        <is>
          <t>model2_health_behavior</t>
        </is>
      </c>
      <c r="D41" s="586" t="n">
        <v>23151</v>
      </c>
      <c r="E41" s="586" t="inlineStr">
        <is>
          <t>Mild_or_greater vs Minimal</t>
        </is>
      </c>
      <c r="F41" s="586" t="inlineStr">
        <is>
          <t>physical_activity[&lt;600 MET-min/week]</t>
        </is>
      </c>
      <c r="G41" s="586" t="inlineStr">
        <is>
          <t>1.05 (0.98-1.13)</t>
        </is>
      </c>
      <c r="H41" s="586" t="inlineStr">
        <is>
          <t>0.139</t>
        </is>
      </c>
    </row>
    <row r="42">
      <c r="A42" s="586" t="inlineStr">
        <is>
          <t>Model 2</t>
        </is>
      </c>
      <c r="B42" s="586" t="inlineStr">
        <is>
          <t>Total</t>
        </is>
      </c>
      <c r="C42" s="586" t="inlineStr">
        <is>
          <t>model2_health_behavior</t>
        </is>
      </c>
      <c r="D42" s="586" t="n">
        <v>23151</v>
      </c>
      <c r="E42" s="586" t="inlineStr">
        <is>
          <t>Mild_or_greater vs Minimal</t>
        </is>
      </c>
      <c r="F42" s="586" t="inlineStr">
        <is>
          <t>sleep_avg_weighted</t>
        </is>
      </c>
      <c r="G42" s="586" t="inlineStr">
        <is>
          <t>0.83 (0.81-0.86)</t>
        </is>
      </c>
      <c r="H42" s="586" t="inlineStr">
        <is>
          <t>&lt;0.001</t>
        </is>
      </c>
    </row>
    <row r="43">
      <c r="A43" s="586" t="inlineStr">
        <is>
          <t>Model 2</t>
        </is>
      </c>
      <c r="B43" s="586" t="inlineStr">
        <is>
          <t>Total</t>
        </is>
      </c>
      <c r="C43" s="586" t="inlineStr">
        <is>
          <t>model2_health_behavior</t>
        </is>
      </c>
      <c r="D43" s="586" t="n">
        <v>23151</v>
      </c>
      <c r="E43" s="586" t="inlineStr">
        <is>
          <t>Mild_or_greater vs Minimal</t>
        </is>
      </c>
      <c r="F43" s="586" t="inlineStr">
        <is>
          <t>BMI_numeric</t>
        </is>
      </c>
      <c r="G43" s="586" t="inlineStr">
        <is>
          <t>1.01 (1.00-1.02)</t>
        </is>
      </c>
      <c r="H43" s="586" t="inlineStr">
        <is>
          <t>0.038</t>
        </is>
      </c>
    </row>
    <row r="44">
      <c r="A44" s="586" t="inlineStr">
        <is>
          <t>Model 3</t>
        </is>
      </c>
      <c r="B44" s="586" t="inlineStr">
        <is>
          <t>Total</t>
        </is>
      </c>
      <c r="C44" s="586" t="inlineStr">
        <is>
          <t>model3_bpm_group</t>
        </is>
      </c>
      <c r="D44" s="586" t="n">
        <v>23151</v>
      </c>
      <c r="E44" s="586" t="inlineStr">
        <is>
          <t>Mild_or_greater vs Minimal</t>
        </is>
      </c>
      <c r="F44" s="586" t="inlineStr">
        <is>
          <t>const</t>
        </is>
      </c>
      <c r="G44" s="586" t="inlineStr">
        <is>
          <t>0.31 (0.20-0.47)</t>
        </is>
      </c>
      <c r="H44" s="586" t="inlineStr">
        <is>
          <t>&lt;0.001</t>
        </is>
      </c>
    </row>
    <row r="45">
      <c r="A45" s="586" t="inlineStr">
        <is>
          <t>Model 3</t>
        </is>
      </c>
      <c r="B45" s="586" t="inlineStr">
        <is>
          <t>Total</t>
        </is>
      </c>
      <c r="C45" s="586" t="inlineStr">
        <is>
          <t>model3_bpm_group</t>
        </is>
      </c>
      <c r="D45" s="586" t="n">
        <v>23151</v>
      </c>
      <c r="E45" s="586" t="inlineStr">
        <is>
          <t>Mild_or_greater vs Minimal</t>
        </is>
      </c>
      <c r="F45" s="586" t="inlineStr">
        <is>
          <t>age_numeric</t>
        </is>
      </c>
      <c r="G45" s="586" t="inlineStr">
        <is>
          <t>0.98 (0.98-0.98)</t>
        </is>
      </c>
      <c r="H45" s="586" t="inlineStr">
        <is>
          <t>&lt;0.001</t>
        </is>
      </c>
    </row>
    <row r="46">
      <c r="A46" s="586" t="inlineStr">
        <is>
          <t>Model 3</t>
        </is>
      </c>
      <c r="B46" s="586" t="inlineStr">
        <is>
          <t>Total</t>
        </is>
      </c>
      <c r="C46" s="586" t="inlineStr">
        <is>
          <t>model3_bpm_group</t>
        </is>
      </c>
      <c r="D46" s="586" t="n">
        <v>23151</v>
      </c>
      <c r="E46" s="586" t="inlineStr">
        <is>
          <t>Mild_or_greater vs Minimal</t>
        </is>
      </c>
      <c r="F46" s="586" t="inlineStr">
        <is>
          <t>sex[Male]</t>
        </is>
      </c>
      <c r="G46" s="586" t="inlineStr">
        <is>
          <t>1.00 (Reference)</t>
        </is>
      </c>
      <c r="H46" s="586" t="n">
        <v/>
      </c>
    </row>
    <row r="47">
      <c r="A47" s="586" t="inlineStr">
        <is>
          <t>Model 3</t>
        </is>
      </c>
      <c r="B47" s="586" t="inlineStr">
        <is>
          <t>Total</t>
        </is>
      </c>
      <c r="C47" s="586" t="inlineStr">
        <is>
          <t>model3_bpm_group</t>
        </is>
      </c>
      <c r="D47" s="586" t="n">
        <v>23151</v>
      </c>
      <c r="E47" s="586" t="inlineStr">
        <is>
          <t>Mild_or_greater vs Minimal</t>
        </is>
      </c>
      <c r="F47" s="586" t="inlineStr">
        <is>
          <t>sex[Female]</t>
        </is>
      </c>
      <c r="G47" s="586" t="inlineStr">
        <is>
          <t>2.69 (2.45-2.96)</t>
        </is>
      </c>
      <c r="H47" s="586" t="inlineStr">
        <is>
          <t>&lt;0.001</t>
        </is>
      </c>
    </row>
    <row r="48">
      <c r="A48" s="586" t="inlineStr">
        <is>
          <t>Model 3</t>
        </is>
      </c>
      <c r="B48" s="586" t="inlineStr">
        <is>
          <t>Total</t>
        </is>
      </c>
      <c r="C48" s="586" t="inlineStr">
        <is>
          <t>model3_bpm_group</t>
        </is>
      </c>
      <c r="D48" s="586" t="n">
        <v>23151</v>
      </c>
      <c r="E48" s="586" t="inlineStr">
        <is>
          <t>Mild_or_greater vs Minimal</t>
        </is>
      </c>
      <c r="F48" s="586" t="inlineStr">
        <is>
          <t>education[College or above]</t>
        </is>
      </c>
      <c r="G48" s="586" t="inlineStr">
        <is>
          <t>1.00 (Reference)</t>
        </is>
      </c>
      <c r="H48" s="586" t="n">
        <v/>
      </c>
    </row>
    <row r="49">
      <c r="A49" s="586" t="inlineStr">
        <is>
          <t>Model 3</t>
        </is>
      </c>
      <c r="B49" s="586" t="inlineStr">
        <is>
          <t>Total</t>
        </is>
      </c>
      <c r="C49" s="586" t="inlineStr">
        <is>
          <t>model3_bpm_group</t>
        </is>
      </c>
      <c r="D49" s="586" t="n">
        <v>23151</v>
      </c>
      <c r="E49" s="586" t="inlineStr">
        <is>
          <t>Mild_or_greater vs Minimal</t>
        </is>
      </c>
      <c r="F49" s="586" t="inlineStr">
        <is>
          <t>education[High school]</t>
        </is>
      </c>
      <c r="G49" s="586" t="inlineStr">
        <is>
          <t>1.04 (0.96-1.13)</t>
        </is>
      </c>
      <c r="H49" s="586" t="inlineStr">
        <is>
          <t>0.301</t>
        </is>
      </c>
    </row>
    <row r="50">
      <c r="A50" s="586" t="inlineStr">
        <is>
          <t>Model 3</t>
        </is>
      </c>
      <c r="B50" s="586" t="inlineStr">
        <is>
          <t>Total</t>
        </is>
      </c>
      <c r="C50" s="586" t="inlineStr">
        <is>
          <t>model3_bpm_group</t>
        </is>
      </c>
      <c r="D50" s="586" t="n">
        <v>23151</v>
      </c>
      <c r="E50" s="586" t="inlineStr">
        <is>
          <t>Mild_or_greater vs Minimal</t>
        </is>
      </c>
      <c r="F50" s="586" t="inlineStr">
        <is>
          <t>education[Middle school]</t>
        </is>
      </c>
      <c r="G50" s="586" t="inlineStr">
        <is>
          <t>1.26 (1.09-1.46)</t>
        </is>
      </c>
      <c r="H50" s="586" t="inlineStr">
        <is>
          <t>0.002</t>
        </is>
      </c>
    </row>
    <row r="51">
      <c r="A51" s="586" t="inlineStr">
        <is>
          <t>Model 3</t>
        </is>
      </c>
      <c r="B51" s="586" t="inlineStr">
        <is>
          <t>Total</t>
        </is>
      </c>
      <c r="C51" s="586" t="inlineStr">
        <is>
          <t>model3_bpm_group</t>
        </is>
      </c>
      <c r="D51" s="586" t="n">
        <v>23151</v>
      </c>
      <c r="E51" s="586" t="inlineStr">
        <is>
          <t>Mild_or_greater vs Minimal</t>
        </is>
      </c>
      <c r="F51" s="586" t="inlineStr">
        <is>
          <t>education[Primary school or below]</t>
        </is>
      </c>
      <c r="G51" s="586" t="inlineStr">
        <is>
          <t>1.63 (1.41-1.88)</t>
        </is>
      </c>
      <c r="H51" s="586" t="inlineStr">
        <is>
          <t>&lt;0.001</t>
        </is>
      </c>
    </row>
    <row r="52">
      <c r="A52" s="586" t="inlineStr">
        <is>
          <t>Model 3</t>
        </is>
      </c>
      <c r="B52" s="586" t="inlineStr">
        <is>
          <t>Total</t>
        </is>
      </c>
      <c r="C52" s="586" t="inlineStr">
        <is>
          <t>model3_bpm_group</t>
        </is>
      </c>
      <c r="D52" s="586" t="n">
        <v>23151</v>
      </c>
      <c r="E52" s="586" t="inlineStr">
        <is>
          <t>Mild_or_greater vs Minimal</t>
        </is>
      </c>
      <c r="F52" s="586" t="inlineStr">
        <is>
          <t>income[High]</t>
        </is>
      </c>
      <c r="G52" s="586" t="inlineStr">
        <is>
          <t>1.00 (Reference)</t>
        </is>
      </c>
      <c r="H52" s="586" t="n">
        <v/>
      </c>
    </row>
    <row r="53">
      <c r="A53" s="586" t="inlineStr">
        <is>
          <t>Model 3</t>
        </is>
      </c>
      <c r="B53" s="586" t="inlineStr">
        <is>
          <t>Total</t>
        </is>
      </c>
      <c r="C53" s="586" t="inlineStr">
        <is>
          <t>model3_bpm_group</t>
        </is>
      </c>
      <c r="D53" s="586" t="n">
        <v>23151</v>
      </c>
      <c r="E53" s="586" t="inlineStr">
        <is>
          <t>Mild_or_greater vs Minimal</t>
        </is>
      </c>
      <c r="F53" s="586" t="inlineStr">
        <is>
          <t>income[Middle-high]</t>
        </is>
      </c>
      <c r="G53" s="586" t="inlineStr">
        <is>
          <t>1.17 (1.07-1.28)</t>
        </is>
      </c>
      <c r="H53" s="586" t="inlineStr">
        <is>
          <t>&lt;0.001</t>
        </is>
      </c>
    </row>
    <row r="54">
      <c r="A54" s="586" t="inlineStr">
        <is>
          <t>Model 3</t>
        </is>
      </c>
      <c r="B54" s="586" t="inlineStr">
        <is>
          <t>Total</t>
        </is>
      </c>
      <c r="C54" s="586" t="inlineStr">
        <is>
          <t>model3_bpm_group</t>
        </is>
      </c>
      <c r="D54" s="586" t="n">
        <v>23151</v>
      </c>
      <c r="E54" s="586" t="inlineStr">
        <is>
          <t>Mild_or_greater vs Minimal</t>
        </is>
      </c>
      <c r="F54" s="586" t="inlineStr">
        <is>
          <t>income[Middle-low]</t>
        </is>
      </c>
      <c r="G54" s="586" t="inlineStr">
        <is>
          <t>1.30 (1.18-1.44)</t>
        </is>
      </c>
      <c r="H54" s="586" t="inlineStr">
        <is>
          <t>&lt;0.001</t>
        </is>
      </c>
    </row>
    <row r="55">
      <c r="A55" s="586" t="inlineStr">
        <is>
          <t>Model 3</t>
        </is>
      </c>
      <c r="B55" s="586" t="inlineStr">
        <is>
          <t>Total</t>
        </is>
      </c>
      <c r="C55" s="586" t="inlineStr">
        <is>
          <t>model3_bpm_group</t>
        </is>
      </c>
      <c r="D55" s="586" t="n">
        <v>23151</v>
      </c>
      <c r="E55" s="586" t="inlineStr">
        <is>
          <t>Mild_or_greater vs Minimal</t>
        </is>
      </c>
      <c r="F55" s="586" t="inlineStr">
        <is>
          <t>income[Low]</t>
        </is>
      </c>
      <c r="G55" s="586" t="inlineStr">
        <is>
          <t>1.75 (1.55-1.97)</t>
        </is>
      </c>
      <c r="H55" s="586" t="inlineStr">
        <is>
          <t>&lt;0.001</t>
        </is>
      </c>
    </row>
    <row r="56">
      <c r="A56" s="586" t="inlineStr">
        <is>
          <t>Model 3</t>
        </is>
      </c>
      <c r="B56" s="586" t="inlineStr">
        <is>
          <t>Total</t>
        </is>
      </c>
      <c r="C56" s="586" t="inlineStr">
        <is>
          <t>model3_bpm_group</t>
        </is>
      </c>
      <c r="D56" s="586" t="n">
        <v>23151</v>
      </c>
      <c r="E56" s="586" t="inlineStr">
        <is>
          <t>Mild_or_greater vs Minimal</t>
        </is>
      </c>
      <c r="F56" s="586" t="inlineStr">
        <is>
          <t>marital_status[Yes]</t>
        </is>
      </c>
      <c r="G56" s="586" t="inlineStr">
        <is>
          <t>1.00 (Reference)</t>
        </is>
      </c>
      <c r="H56" s="586" t="n">
        <v/>
      </c>
    </row>
    <row r="57">
      <c r="A57" s="586" t="inlineStr">
        <is>
          <t>Model 3</t>
        </is>
      </c>
      <c r="B57" s="586" t="inlineStr">
        <is>
          <t>Total</t>
        </is>
      </c>
      <c r="C57" s="586" t="inlineStr">
        <is>
          <t>model3_bpm_group</t>
        </is>
      </c>
      <c r="D57" s="586" t="n">
        <v>23151</v>
      </c>
      <c r="E57" s="586" t="inlineStr">
        <is>
          <t>Mild_or_greater vs Minimal</t>
        </is>
      </c>
      <c r="F57" s="586" t="inlineStr">
        <is>
          <t>marital_status[No]</t>
        </is>
      </c>
      <c r="G57" s="586" t="inlineStr">
        <is>
          <t>1.33 (1.20-1.48)</t>
        </is>
      </c>
      <c r="H57" s="586" t="inlineStr">
        <is>
          <t>&lt;0.001</t>
        </is>
      </c>
    </row>
    <row r="58">
      <c r="A58" s="586" t="inlineStr">
        <is>
          <t>Model 3</t>
        </is>
      </c>
      <c r="B58" s="586" t="inlineStr">
        <is>
          <t>Total</t>
        </is>
      </c>
      <c r="C58" s="586" t="inlineStr">
        <is>
          <t>model3_bpm_group</t>
        </is>
      </c>
      <c r="D58" s="586" t="n">
        <v>23151</v>
      </c>
      <c r="E58" s="586" t="inlineStr">
        <is>
          <t>Mild_or_greater vs Minimal</t>
        </is>
      </c>
      <c r="F58" s="586" t="inlineStr">
        <is>
          <t>working_status[Yes]</t>
        </is>
      </c>
      <c r="G58" s="586" t="inlineStr">
        <is>
          <t>1.00 (Reference)</t>
        </is>
      </c>
      <c r="H58" s="586" t="n">
        <v/>
      </c>
    </row>
    <row r="59">
      <c r="A59" s="586" t="inlineStr">
        <is>
          <t>Model 3</t>
        </is>
      </c>
      <c r="B59" s="586" t="inlineStr">
        <is>
          <t>Total</t>
        </is>
      </c>
      <c r="C59" s="586" t="inlineStr">
        <is>
          <t>model3_bpm_group</t>
        </is>
      </c>
      <c r="D59" s="586" t="n">
        <v>23151</v>
      </c>
      <c r="E59" s="586" t="inlineStr">
        <is>
          <t>Mild_or_greater vs Minimal</t>
        </is>
      </c>
      <c r="F59" s="586" t="inlineStr">
        <is>
          <t>working_status[No]</t>
        </is>
      </c>
      <c r="G59" s="586" t="inlineStr">
        <is>
          <t>1.25 (1.16-1.34)</t>
        </is>
      </c>
      <c r="H59" s="586" t="inlineStr">
        <is>
          <t>&lt;0.001</t>
        </is>
      </c>
    </row>
    <row r="60">
      <c r="A60" s="586" t="inlineStr">
        <is>
          <t>Model 3</t>
        </is>
      </c>
      <c r="B60" s="586" t="inlineStr">
        <is>
          <t>Total</t>
        </is>
      </c>
      <c r="C60" s="586" t="inlineStr">
        <is>
          <t>model3_bpm_group</t>
        </is>
      </c>
      <c r="D60" s="586" t="n">
        <v>23151</v>
      </c>
      <c r="E60" s="586" t="inlineStr">
        <is>
          <t>Mild_or_greater vs Minimal</t>
        </is>
      </c>
      <c r="F60" s="586" t="inlineStr">
        <is>
          <t>alcohol[Never]</t>
        </is>
      </c>
      <c r="G60" s="586" t="inlineStr">
        <is>
          <t>1.00 (Reference)</t>
        </is>
      </c>
      <c r="H60" s="586" t="n">
        <v/>
      </c>
    </row>
    <row r="61">
      <c r="A61" s="586" t="inlineStr">
        <is>
          <t>Model 3</t>
        </is>
      </c>
      <c r="B61" s="586" t="inlineStr">
        <is>
          <t>Total</t>
        </is>
      </c>
      <c r="C61" s="586" t="inlineStr">
        <is>
          <t>model3_bpm_group</t>
        </is>
      </c>
      <c r="D61" s="586" t="n">
        <v>23151</v>
      </c>
      <c r="E61" s="586" t="inlineStr">
        <is>
          <t>Mild_or_greater vs Minimal</t>
        </is>
      </c>
      <c r="F61" s="586" t="inlineStr">
        <is>
          <t>alcohol[Previous]</t>
        </is>
      </c>
      <c r="G61" s="586" t="inlineStr">
        <is>
          <t>1.21 (1.04-1.41)</t>
        </is>
      </c>
      <c r="H61" s="586" t="inlineStr">
        <is>
          <t>0.013</t>
        </is>
      </c>
    </row>
    <row r="62">
      <c r="A62" s="586" t="inlineStr">
        <is>
          <t>Model 3</t>
        </is>
      </c>
      <c r="B62" s="586" t="inlineStr">
        <is>
          <t>Total</t>
        </is>
      </c>
      <c r="C62" s="586" t="inlineStr">
        <is>
          <t>model3_bpm_group</t>
        </is>
      </c>
      <c r="D62" s="586" t="n">
        <v>23151</v>
      </c>
      <c r="E62" s="586" t="inlineStr">
        <is>
          <t>Mild_or_greater vs Minimal</t>
        </is>
      </c>
      <c r="F62" s="586" t="inlineStr">
        <is>
          <t>alcohol[Current]</t>
        </is>
      </c>
      <c r="G62" s="586" t="inlineStr">
        <is>
          <t>1.19 (1.04-1.37)</t>
        </is>
      </c>
      <c r="H62" s="586" t="inlineStr">
        <is>
          <t>0.014</t>
        </is>
      </c>
    </row>
    <row r="63">
      <c r="A63" s="586" t="inlineStr">
        <is>
          <t>Model 3</t>
        </is>
      </c>
      <c r="B63" s="586" t="inlineStr">
        <is>
          <t>Total</t>
        </is>
      </c>
      <c r="C63" s="586" t="inlineStr">
        <is>
          <t>model3_bpm_group</t>
        </is>
      </c>
      <c r="D63" s="586" t="n">
        <v>23151</v>
      </c>
      <c r="E63" s="586" t="inlineStr">
        <is>
          <t>Mild_or_greater vs Minimal</t>
        </is>
      </c>
      <c r="F63" s="586" t="inlineStr">
        <is>
          <t>smoking[Never]</t>
        </is>
      </c>
      <c r="G63" s="586" t="inlineStr">
        <is>
          <t>1.00 (Reference)</t>
        </is>
      </c>
      <c r="H63" s="586" t="n">
        <v/>
      </c>
    </row>
    <row r="64">
      <c r="A64" s="586" t="inlineStr">
        <is>
          <t>Model 3</t>
        </is>
      </c>
      <c r="B64" s="586" t="inlineStr">
        <is>
          <t>Total</t>
        </is>
      </c>
      <c r="C64" s="586" t="inlineStr">
        <is>
          <t>model3_bpm_group</t>
        </is>
      </c>
      <c r="D64" s="586" t="n">
        <v>23151</v>
      </c>
      <c r="E64" s="586" t="inlineStr">
        <is>
          <t>Mild_or_greater vs Minimal</t>
        </is>
      </c>
      <c r="F64" s="586" t="inlineStr">
        <is>
          <t>smoking[Previous]</t>
        </is>
      </c>
      <c r="G64" s="586" t="inlineStr">
        <is>
          <t>1.67 (1.50-1.85)</t>
        </is>
      </c>
      <c r="H64" s="586" t="inlineStr">
        <is>
          <t>&lt;0.001</t>
        </is>
      </c>
    </row>
    <row r="65">
      <c r="A65" s="586" t="inlineStr">
        <is>
          <t>Model 3</t>
        </is>
      </c>
      <c r="B65" s="586" t="inlineStr">
        <is>
          <t>Total</t>
        </is>
      </c>
      <c r="C65" s="586" t="inlineStr">
        <is>
          <t>model3_bpm_group</t>
        </is>
      </c>
      <c r="D65" s="586" t="n">
        <v>23151</v>
      </c>
      <c r="E65" s="586" t="inlineStr">
        <is>
          <t>Mild_or_greater vs Minimal</t>
        </is>
      </c>
      <c r="F65" s="586" t="inlineStr">
        <is>
          <t>smoking[Current]</t>
        </is>
      </c>
      <c r="G65" s="586" t="inlineStr">
        <is>
          <t>2.27 (2.04-2.52)</t>
        </is>
      </c>
      <c r="H65" s="586" t="inlineStr">
        <is>
          <t>&lt;0.001</t>
        </is>
      </c>
    </row>
    <row r="66">
      <c r="A66" s="586" t="inlineStr">
        <is>
          <t>Model 3</t>
        </is>
      </c>
      <c r="B66" s="586" t="inlineStr">
        <is>
          <t>Total</t>
        </is>
      </c>
      <c r="C66" s="586" t="inlineStr">
        <is>
          <t>model3_bpm_group</t>
        </is>
      </c>
      <c r="D66" s="586" t="n">
        <v>23151</v>
      </c>
      <c r="E66" s="586" t="inlineStr">
        <is>
          <t>Mild_or_greater vs Minimal</t>
        </is>
      </c>
      <c r="F66" s="586" t="inlineStr">
        <is>
          <t>physical_activity[&gt;=600 MET-min/week]</t>
        </is>
      </c>
      <c r="G66" s="586" t="inlineStr">
        <is>
          <t>1.00 (Reference)</t>
        </is>
      </c>
      <c r="H66" s="586" t="n">
        <v/>
      </c>
    </row>
    <row r="67">
      <c r="A67" s="586" t="inlineStr">
        <is>
          <t>Model 3</t>
        </is>
      </c>
      <c r="B67" s="586" t="inlineStr">
        <is>
          <t>Total</t>
        </is>
      </c>
      <c r="C67" s="586" t="inlineStr">
        <is>
          <t>model3_bpm_group</t>
        </is>
      </c>
      <c r="D67" s="586" t="n">
        <v>23151</v>
      </c>
      <c r="E67" s="586" t="inlineStr">
        <is>
          <t>Mild_or_greater vs Minimal</t>
        </is>
      </c>
      <c r="F67" s="586" t="inlineStr">
        <is>
          <t>physical_activity[&lt;600 MET-min/week]</t>
        </is>
      </c>
      <c r="G67" s="586" t="inlineStr">
        <is>
          <t>1.04 (0.97-1.12)</t>
        </is>
      </c>
      <c r="H67" s="586" t="inlineStr">
        <is>
          <t>0.229</t>
        </is>
      </c>
    </row>
    <row r="68">
      <c r="A68" s="586" t="inlineStr">
        <is>
          <t>Model 3</t>
        </is>
      </c>
      <c r="B68" s="586" t="inlineStr">
        <is>
          <t>Total</t>
        </is>
      </c>
      <c r="C68" s="586" t="inlineStr">
        <is>
          <t>model3_bpm_group</t>
        </is>
      </c>
      <c r="D68" s="586" t="n">
        <v>23151</v>
      </c>
      <c r="E68" s="586" t="inlineStr">
        <is>
          <t>Mild_or_greater vs Minimal</t>
        </is>
      </c>
      <c r="F68" s="586" t="inlineStr">
        <is>
          <t>sleep_avg_weighted</t>
        </is>
      </c>
      <c r="G68" s="586" t="inlineStr">
        <is>
          <t>0.83 (0.81-0.85)</t>
        </is>
      </c>
      <c r="H68" s="586" t="inlineStr">
        <is>
          <t>&lt;0.001</t>
        </is>
      </c>
    </row>
    <row r="69">
      <c r="A69" s="586" t="inlineStr">
        <is>
          <t>Model 3</t>
        </is>
      </c>
      <c r="B69" s="586" t="inlineStr">
        <is>
          <t>Total</t>
        </is>
      </c>
      <c r="C69" s="586" t="inlineStr">
        <is>
          <t>model3_bpm_group</t>
        </is>
      </c>
      <c r="D69" s="586" t="n">
        <v>23151</v>
      </c>
      <c r="E69" s="586" t="inlineStr">
        <is>
          <t>Mild_or_greater vs Minimal</t>
        </is>
      </c>
      <c r="F69" s="586" t="inlineStr">
        <is>
          <t>BMI_numeric</t>
        </is>
      </c>
      <c r="G69" s="586" t="inlineStr">
        <is>
          <t>1.01 (1.00-1.02)</t>
        </is>
      </c>
      <c r="H69" s="586" t="inlineStr">
        <is>
          <t>0.048</t>
        </is>
      </c>
    </row>
    <row r="70">
      <c r="A70" s="586" t="inlineStr">
        <is>
          <t>Model 3</t>
        </is>
      </c>
      <c r="B70" s="586" t="inlineStr">
        <is>
          <t>Total</t>
        </is>
      </c>
      <c r="C70" s="586" t="inlineStr">
        <is>
          <t>model3_bpm_group</t>
        </is>
      </c>
      <c r="D70" s="586" t="n">
        <v>23151</v>
      </c>
      <c r="E70" s="586" t="inlineStr">
        <is>
          <t>Mild_or_greater vs Minimal</t>
        </is>
      </c>
      <c r="F70" s="586" t="inlineStr">
        <is>
          <t>pulse_rate_60_group[&lt;60 bpm]</t>
        </is>
      </c>
      <c r="G70" s="586" t="inlineStr">
        <is>
          <t>1.00 (Reference)</t>
        </is>
      </c>
      <c r="H70" s="586" t="n">
        <v/>
      </c>
    </row>
    <row r="71">
      <c r="A71" s="586" t="inlineStr">
        <is>
          <t>Model 3</t>
        </is>
      </c>
      <c r="B71" s="586" t="inlineStr">
        <is>
          <t>Total</t>
        </is>
      </c>
      <c r="C71" s="586" t="inlineStr">
        <is>
          <t>model3_bpm_group</t>
        </is>
      </c>
      <c r="D71" s="586" t="n">
        <v>23151</v>
      </c>
      <c r="E71" s="586" t="inlineStr">
        <is>
          <t>Mild_or_greater vs Minimal</t>
        </is>
      </c>
      <c r="F71" s="586" t="inlineStr">
        <is>
          <t>pulse_rate_60_group[60-69 bpm]</t>
        </is>
      </c>
      <c r="G71" s="586" t="inlineStr">
        <is>
          <t>1.12 (0.95-1.32)</t>
        </is>
      </c>
      <c r="H71" s="586" t="inlineStr">
        <is>
          <t>0.188</t>
        </is>
      </c>
    </row>
    <row r="72">
      <c r="A72" s="586" t="inlineStr">
        <is>
          <t>Model 3</t>
        </is>
      </c>
      <c r="B72" s="586" t="inlineStr">
        <is>
          <t>Total</t>
        </is>
      </c>
      <c r="C72" s="586" t="inlineStr">
        <is>
          <t>model3_bpm_group</t>
        </is>
      </c>
      <c r="D72" s="586" t="n">
        <v>23151</v>
      </c>
      <c r="E72" s="586" t="inlineStr">
        <is>
          <t>Mild_or_greater vs Minimal</t>
        </is>
      </c>
      <c r="F72" s="586" t="inlineStr">
        <is>
          <t>pulse_rate_60_group[70-79 bpm]</t>
        </is>
      </c>
      <c r="G72" s="586" t="inlineStr">
        <is>
          <t>1.22 (1.03-1.44)</t>
        </is>
      </c>
      <c r="H72" s="586" t="inlineStr">
        <is>
          <t>0.023</t>
        </is>
      </c>
    </row>
    <row r="73">
      <c r="A73" s="586" t="inlineStr">
        <is>
          <t>Model 3</t>
        </is>
      </c>
      <c r="B73" s="586" t="inlineStr">
        <is>
          <t>Total</t>
        </is>
      </c>
      <c r="C73" s="586" t="inlineStr">
        <is>
          <t>model3_bpm_group</t>
        </is>
      </c>
      <c r="D73" s="586" t="n">
        <v>23151</v>
      </c>
      <c r="E73" s="586" t="inlineStr">
        <is>
          <t>Mild_or_greater vs Minimal</t>
        </is>
      </c>
      <c r="F73" s="586" t="inlineStr">
        <is>
          <t>pulse_rate_60_group[80-89 bpm]</t>
        </is>
      </c>
      <c r="G73" s="586" t="inlineStr">
        <is>
          <t>1.28 (1.07-1.53)</t>
        </is>
      </c>
      <c r="H73" s="586" t="inlineStr">
        <is>
          <t>0.008</t>
        </is>
      </c>
    </row>
    <row r="74">
      <c r="A74" s="586" t="inlineStr">
        <is>
          <t>Model 3</t>
        </is>
      </c>
      <c r="B74" s="586" t="inlineStr">
        <is>
          <t>Total</t>
        </is>
      </c>
      <c r="C74" s="586" t="inlineStr">
        <is>
          <t>model3_bpm_group</t>
        </is>
      </c>
      <c r="D74" s="586" t="n">
        <v>23151</v>
      </c>
      <c r="E74" s="586" t="inlineStr">
        <is>
          <t>Mild_or_greater vs Minimal</t>
        </is>
      </c>
      <c r="F74" s="586" t="inlineStr">
        <is>
          <t>pulse_rate_60_group[&gt;=90 bpm]</t>
        </is>
      </c>
      <c r="G74" s="586" t="inlineStr">
        <is>
          <t>1.49 (1.18-1.87)</t>
        </is>
      </c>
      <c r="H74" s="586" t="inlineStr">
        <is>
          <t>&lt;0.001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584" min="1" max="1"/>
    <col width="12" customWidth="1" style="584" min="2" max="2"/>
    <col width="16" customWidth="1" style="584" min="3" max="3"/>
    <col width="24" customWidth="1" style="584" min="4" max="4"/>
  </cols>
  <sheetData>
    <row r="1">
      <c r="A1" s="585" t="inlineStr">
        <is>
          <t>RHR group</t>
        </is>
      </c>
      <c r="B1" s="585" t="inlineStr">
        <is>
          <t>Total N</t>
        </is>
      </c>
      <c r="C1" s="585" t="inlineStr">
        <is>
          <t>Minimal, n (%)</t>
        </is>
      </c>
      <c r="D1" s="585" t="inlineStr">
        <is>
          <t>Mild_or_greater, n (%)</t>
        </is>
      </c>
    </row>
    <row r="2">
      <c r="A2" s="586" t="inlineStr">
        <is>
          <t>Total</t>
        </is>
      </c>
      <c r="B2" s="586" t="inlineStr">
        <is>
          <t>23,418</t>
        </is>
      </c>
      <c r="C2" s="586" t="inlineStr">
        <is>
          <t>19,043 (81.3)</t>
        </is>
      </c>
      <c r="D2" s="586" t="inlineStr">
        <is>
          <t>4,375 (18.7)</t>
        </is>
      </c>
    </row>
    <row r="3">
      <c r="A3" s="586" t="inlineStr">
        <is>
          <t>&lt;60 bpm</t>
        </is>
      </c>
      <c r="B3" s="586" t="inlineStr">
        <is>
          <t>1,402</t>
        </is>
      </c>
      <c r="C3" s="586" t="inlineStr">
        <is>
          <t>1,211 (86.4)</t>
        </is>
      </c>
      <c r="D3" s="586" t="inlineStr">
        <is>
          <t>191 (13.6)</t>
        </is>
      </c>
    </row>
    <row r="4">
      <c r="A4" s="586" t="inlineStr">
        <is>
          <t>60-69 bpm</t>
        </is>
      </c>
      <c r="B4" s="586" t="inlineStr">
        <is>
          <t>10,581</t>
        </is>
      </c>
      <c r="C4" s="586" t="inlineStr">
        <is>
          <t>8,767 (82.9)</t>
        </is>
      </c>
      <c r="D4" s="586" t="inlineStr">
        <is>
          <t>1,814 (17.1)</t>
        </is>
      </c>
    </row>
    <row r="5">
      <c r="A5" s="586" t="inlineStr">
        <is>
          <t>70-79 bpm</t>
        </is>
      </c>
      <c r="B5" s="586" t="inlineStr">
        <is>
          <t>7,043</t>
        </is>
      </c>
      <c r="C5" s="586" t="inlineStr">
        <is>
          <t>5,663 (80.4)</t>
        </is>
      </c>
      <c r="D5" s="586" t="inlineStr">
        <is>
          <t>1,380 (19.6)</t>
        </is>
      </c>
    </row>
    <row r="6">
      <c r="A6" s="586" t="inlineStr">
        <is>
          <t>80-89 bpm</t>
        </is>
      </c>
      <c r="B6" s="586" t="inlineStr">
        <is>
          <t>3,588</t>
        </is>
      </c>
      <c r="C6" s="586" t="inlineStr">
        <is>
          <t>2,804 (78.1)</t>
        </is>
      </c>
      <c r="D6" s="586" t="inlineStr">
        <is>
          <t>784 (21.9)</t>
        </is>
      </c>
    </row>
    <row r="7">
      <c r="A7" s="586" t="inlineStr">
        <is>
          <t>&gt;=90 bpm</t>
        </is>
      </c>
      <c r="B7" s="586" t="inlineStr">
        <is>
          <t>804</t>
        </is>
      </c>
      <c r="C7" s="586" t="inlineStr">
        <is>
          <t>598 (74.4)</t>
        </is>
      </c>
      <c r="D7" s="586" t="inlineStr">
        <is>
          <t>206 (25.6)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style="584" min="1" max="1"/>
    <col width="32" customWidth="1" style="584" min="2" max="2"/>
    <col width="38" customWidth="1" style="584" min="3" max="3"/>
  </cols>
  <sheetData>
    <row r="1">
      <c r="A1" s="585" t="inlineStr">
        <is>
          <t>Variable</t>
        </is>
      </c>
      <c r="B1" s="585" t="inlineStr">
        <is>
          <t>Description</t>
        </is>
      </c>
      <c r="C1" s="585" t="inlineStr">
        <is>
          <t>Coding / note</t>
        </is>
      </c>
    </row>
    <row r="2">
      <c r="A2" s="586" t="inlineStr">
        <is>
          <t>PHQ_group</t>
        </is>
      </c>
      <c r="B2" s="586" t="inlineStr">
        <is>
          <t>Depressive symptom group</t>
        </is>
      </c>
      <c r="C2" s="586" t="inlineStr">
        <is>
          <t>Minimal / Mild_or_greater</t>
        </is>
      </c>
    </row>
    <row r="3">
      <c r="A3" s="586" t="inlineStr">
        <is>
          <t>PHQ_binary</t>
        </is>
      </c>
      <c r="B3" s="586" t="inlineStr">
        <is>
          <t>Regression outcome</t>
        </is>
      </c>
      <c r="C3" s="586" t="inlineStr">
        <is>
          <t>0 = Minimal, 1 = Mild_or_greater</t>
        </is>
      </c>
    </row>
    <row r="4">
      <c r="A4" s="586" t="inlineStr">
        <is>
          <t>pulse_rate_60</t>
        </is>
      </c>
      <c r="B4" s="586" t="inlineStr">
        <is>
          <t>Resting heart rate</t>
        </is>
      </c>
      <c r="C4" s="586" t="inlineStr">
        <is>
          <t>beats per minute</t>
        </is>
      </c>
    </row>
    <row r="5">
      <c r="A5" s="586" t="inlineStr">
        <is>
          <t>pulse_rate_60_group</t>
        </is>
      </c>
      <c r="B5" s="586" t="inlineStr">
        <is>
          <t>Categorical resting heart rate</t>
        </is>
      </c>
      <c r="C5" s="586" t="inlineStr">
        <is>
          <t>&lt;60 bpm reference</t>
        </is>
      </c>
    </row>
    <row r="6">
      <c r="A6" s="586" t="inlineStr">
        <is>
          <t>age_numeric</t>
        </is>
      </c>
      <c r="B6" s="586" t="inlineStr">
        <is>
          <t>Age</t>
        </is>
      </c>
      <c r="C6" s="586" t="inlineStr">
        <is>
          <t>years</t>
        </is>
      </c>
    </row>
    <row r="7">
      <c r="A7" s="586" t="inlineStr">
        <is>
          <t>sex_numeric / sex_group</t>
        </is>
      </c>
      <c r="B7" s="586" t="inlineStr">
        <is>
          <t>Sex</t>
        </is>
      </c>
      <c r="C7" s="586" t="inlineStr">
        <is>
          <t>1 = Male, 2 = Female; Male reference</t>
        </is>
      </c>
    </row>
    <row r="8">
      <c r="A8" s="586" t="inlineStr">
        <is>
          <t>household_income / income_group</t>
        </is>
      </c>
      <c r="B8" s="586" t="inlineStr">
        <is>
          <t>Household income quartile</t>
        </is>
      </c>
      <c r="C8" s="586" t="inlineStr">
        <is>
          <t>High reference</t>
        </is>
      </c>
    </row>
    <row r="9">
      <c r="A9" s="586" t="inlineStr">
        <is>
          <t>edu_numeric / education_group</t>
        </is>
      </c>
      <c r="B9" s="586" t="inlineStr">
        <is>
          <t>Education level</t>
        </is>
      </c>
      <c r="C9" s="586" t="inlineStr">
        <is>
          <t>College or above reference</t>
        </is>
      </c>
    </row>
    <row r="10">
      <c r="A10" s="586" t="inlineStr">
        <is>
          <t>marri_1_numeric / marital_status</t>
        </is>
      </c>
      <c r="B10" s="586" t="inlineStr">
        <is>
          <t>Marital status</t>
        </is>
      </c>
      <c r="C10" s="586" t="inlineStr">
        <is>
          <t>Yes reference</t>
        </is>
      </c>
    </row>
    <row r="11">
      <c r="A11" s="586" t="inlineStr">
        <is>
          <t>employment_status / working_status</t>
        </is>
      </c>
      <c r="B11" s="586" t="inlineStr">
        <is>
          <t>Working status</t>
        </is>
      </c>
      <c r="C11" s="586" t="inlineStr">
        <is>
          <t>Yes reference</t>
        </is>
      </c>
    </row>
    <row r="12">
      <c r="A12" s="586" t="inlineStr">
        <is>
          <t>smoking_history / smoking_group</t>
        </is>
      </c>
      <c r="B12" s="586" t="inlineStr">
        <is>
          <t>Smoking history</t>
        </is>
      </c>
      <c r="C12" s="586" t="inlineStr">
        <is>
          <t>Never reference</t>
        </is>
      </c>
    </row>
    <row r="13">
      <c r="A13" s="586" t="inlineStr">
        <is>
          <t>BD1_11_numeric / alcohol_group</t>
        </is>
      </c>
      <c r="B13" s="586" t="inlineStr">
        <is>
          <t>Alcohol use</t>
        </is>
      </c>
      <c r="C13" s="586" t="inlineStr">
        <is>
          <t>Never reference</t>
        </is>
      </c>
    </row>
    <row r="14">
      <c r="A14" s="586" t="inlineStr">
        <is>
          <t>physical_activity_group</t>
        </is>
      </c>
      <c r="B14" s="586" t="inlineStr">
        <is>
          <t>Total physical activity</t>
        </is>
      </c>
      <c r="C14" s="586" t="inlineStr">
        <is>
          <t>&gt;=600 MET-min/week reference</t>
        </is>
      </c>
    </row>
    <row r="15">
      <c r="A15" s="586" t="inlineStr">
        <is>
          <t>sleep_avg_weighted</t>
        </is>
      </c>
      <c r="B15" s="586" t="inlineStr">
        <is>
          <t>Average sleep duration</t>
        </is>
      </c>
      <c r="C15" s="586" t="inlineStr">
        <is>
          <t>Weighted weekday/weekend hours</t>
        </is>
      </c>
    </row>
    <row r="16">
      <c r="A16" s="586" t="inlineStr">
        <is>
          <t>BMI_numeric</t>
        </is>
      </c>
      <c r="B16" s="586" t="inlineStr">
        <is>
          <t>Body mass index</t>
        </is>
      </c>
      <c r="C16" s="586" t="inlineStr">
        <is>
          <t>kg/m2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GC</dc:creator>
  <dcterms:created xmlns:dcterms="http://purl.org/dc/terms/" xmlns:xsi="http://www.w3.org/2001/XMLSchema-instance" xsi:type="dcterms:W3CDTF">2021-11-05T11:31:34Z</dcterms:created>
  <dcterms:modified xmlns:dcterms="http://purl.org/dc/terms/" xmlns:xsi="http://www.w3.org/2001/XMLSchema-instance" xsi:type="dcterms:W3CDTF">2026-09-02T01:31:11Z</dcterms:modified>
  <cp:lastModifiedBy>Eunjin Ahn</cp:lastModifiedBy>
</cp:coreProperties>
</file>